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山本　史朗\Dropbox\ネットショップ\【出荷】ペライチ\マクロフォーマット\"/>
    </mc:Choice>
  </mc:AlternateContent>
  <xr:revisionPtr revIDLastSave="0" documentId="13_ncr:1_{5D453DB3-0EB1-4E33-8C95-E0D13931E8E1}" xr6:coauthVersionLast="47" xr6:coauthVersionMax="47" xr10:uidLastSave="{00000000-0000-0000-0000-000000000000}"/>
  <bookViews>
    <workbookView xWindow="-24345" yWindow="-16320" windowWidth="38640" windowHeight="15720" activeTab="2" xr2:uid="{D9F6C971-527C-49DF-BF48-EFBB28A0421D}"/>
  </bookViews>
  <sheets>
    <sheet name="手順実行" sheetId="2" r:id="rId1"/>
    <sheet name="元データ" sheetId="1" r:id="rId2"/>
    <sheet name="編集" sheetId="13" r:id="rId3"/>
    <sheet name="ペットクリック物出し" sheetId="4" r:id="rId4"/>
    <sheet name="ペット佐川物出し" sheetId="5" r:id="rId5"/>
    <sheet name="衣類物出し" sheetId="6" r:id="rId6"/>
    <sheet name="ペット_クリック追跡番号レポート貼付" sheetId="7" r:id="rId7"/>
    <sheet name="衣類_クリック追跡番号レポート貼付" sheetId="8" r:id="rId8"/>
    <sheet name="通知用データ" sheetId="9" r:id="rId9"/>
    <sheet name="ペット_クリック発行用_一括発行アップデータ" sheetId="10" r:id="rId10"/>
    <sheet name="衣類_クリック発行用_一括発行アップデータ" sheetId="11" r:id="rId11"/>
    <sheet name="佐川発行用_E飛伝アップデータ" sheetId="12" r:id="rId12"/>
    <sheet name="納品書【2行目】" sheetId="14" r:id="rId13"/>
    <sheet name="納品書【3行目】" sheetId="15" r:id="rId14"/>
    <sheet name="納品書【4行目】" sheetId="16" r:id="rId15"/>
    <sheet name="納品書【5行目】" sheetId="17" r:id="rId16"/>
    <sheet name="納品書【6行目】" sheetId="18" r:id="rId17"/>
    <sheet name="納品書【7行目】" sheetId="19" r:id="rId18"/>
    <sheet name="納品書【8行目】" sheetId="20" r:id="rId19"/>
    <sheet name="納品書【9行目】" sheetId="21" r:id="rId20"/>
    <sheet name="納品書【10行目】" sheetId="22" r:id="rId21"/>
    <sheet name="納品書【11行目】" sheetId="23" r:id="rId22"/>
    <sheet name="納品書【12行目】" sheetId="24" r:id="rId23"/>
    <sheet name="納品書【13行目】" sheetId="25" r:id="rId24"/>
    <sheet name="納品書【14行目】" sheetId="26" r:id="rId25"/>
    <sheet name="納品書【15行目】" sheetId="27" r:id="rId26"/>
    <sheet name="納品書【16行目】" sheetId="28" r:id="rId27"/>
    <sheet name="納品書【17行目】" sheetId="29" r:id="rId28"/>
    <sheet name="納品書【18行目】" sheetId="30" r:id="rId29"/>
    <sheet name="納品書【19行目】" sheetId="31" r:id="rId30"/>
    <sheet name="納品書【20行目】" sheetId="32" r:id="rId31"/>
  </sheets>
  <externalReferences>
    <externalReference r:id="rId32"/>
  </externalReferences>
  <definedNames>
    <definedName name="_xlnm.Print_Area" localSheetId="3">ペットクリック物出し!$C:$D</definedName>
    <definedName name="_xlnm.Print_Area" localSheetId="4">ペット佐川物出し!$C:$D</definedName>
    <definedName name="_xlnm.Print_Area" localSheetId="5">衣類物出し!$C:$D</definedName>
    <definedName name="_xlnm.Print_Area" localSheetId="20">納品書【10行目】!$B$2:$J$44</definedName>
    <definedName name="_xlnm.Print_Area" localSheetId="21">納品書【11行目】!$B$2:$J$44</definedName>
    <definedName name="_xlnm.Print_Area" localSheetId="22">納品書【12行目】!$B$2:$J$44</definedName>
    <definedName name="_xlnm.Print_Area" localSheetId="23">納品書【13行目】!$B$2:$J$44</definedName>
    <definedName name="_xlnm.Print_Area" localSheetId="24">納品書【14行目】!$B$2:$J$44</definedName>
    <definedName name="_xlnm.Print_Area" localSheetId="25">納品書【15行目】!$B$2:$J$44</definedName>
    <definedName name="_xlnm.Print_Area" localSheetId="26">納品書【16行目】!$B$2:$J$44</definedName>
    <definedName name="_xlnm.Print_Area" localSheetId="27">納品書【17行目】!$B$2:$J$44</definedName>
    <definedName name="_xlnm.Print_Area" localSheetId="28">納品書【18行目】!$B$2:$J$44</definedName>
    <definedName name="_xlnm.Print_Area" localSheetId="29">納品書【19行目】!$B$2:$J$44</definedName>
    <definedName name="_xlnm.Print_Area" localSheetId="30">納品書【20行目】!$B$2:$J$44</definedName>
    <definedName name="_xlnm.Print_Area" localSheetId="12">納品書【2行目】!$B$2:$J$44</definedName>
    <definedName name="_xlnm.Print_Area" localSheetId="13">納品書【3行目】!$B$2:$J$44</definedName>
    <definedName name="_xlnm.Print_Area" localSheetId="14">納品書【4行目】!$B$2:$J$44</definedName>
    <definedName name="_xlnm.Print_Area" localSheetId="15">納品書【5行目】!$B$2:$J$44</definedName>
    <definedName name="_xlnm.Print_Area" localSheetId="16">納品書【6行目】!$B$2:$J$44</definedName>
    <definedName name="_xlnm.Print_Area" localSheetId="17">納品書【7行目】!$B$2:$J$44</definedName>
    <definedName name="_xlnm.Print_Area" localSheetId="18">納品書【8行目】!$B$2:$J$44</definedName>
    <definedName name="_xlnm.Print_Area" localSheetId="19">納品書【9行目】!$B$2:$J$44</definedName>
    <definedName name="_xlnm.Print_Titles" localSheetId="3">ペットクリック物出し!$1:$1</definedName>
    <definedName name="_xlnm.Print_Titles" localSheetId="4">ペット佐川物出し!$1:$1</definedName>
    <definedName name="_xlnm.Print_Titles" localSheetId="5">衣類物出し!$1:$1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" i="32" l="1"/>
  <c r="M30" i="32"/>
  <c r="M29" i="32"/>
  <c r="M28" i="32"/>
  <c r="M27" i="32"/>
  <c r="M26" i="32"/>
  <c r="M25" i="32"/>
  <c r="M24" i="32"/>
  <c r="M23" i="32"/>
  <c r="M22" i="32"/>
  <c r="M31" i="31"/>
  <c r="M30" i="31"/>
  <c r="M29" i="31"/>
  <c r="M28" i="31"/>
  <c r="M27" i="31"/>
  <c r="M26" i="31"/>
  <c r="M25" i="31"/>
  <c r="M24" i="31"/>
  <c r="M23" i="31"/>
  <c r="M22" i="31"/>
  <c r="M31" i="30"/>
  <c r="M30" i="30"/>
  <c r="M29" i="30"/>
  <c r="M28" i="30"/>
  <c r="M27" i="30"/>
  <c r="M26" i="30"/>
  <c r="M25" i="30"/>
  <c r="M24" i="30"/>
  <c r="M23" i="30"/>
  <c r="M22" i="30"/>
  <c r="M31" i="29"/>
  <c r="M30" i="29"/>
  <c r="M29" i="29"/>
  <c r="M28" i="29"/>
  <c r="M27" i="29"/>
  <c r="M26" i="29"/>
  <c r="M25" i="29"/>
  <c r="M24" i="29"/>
  <c r="M23" i="29"/>
  <c r="M22" i="29"/>
  <c r="M31" i="28"/>
  <c r="M30" i="28"/>
  <c r="M29" i="28"/>
  <c r="M28" i="28"/>
  <c r="M27" i="28"/>
  <c r="M26" i="28"/>
  <c r="M25" i="28"/>
  <c r="M24" i="28"/>
  <c r="M23" i="28"/>
  <c r="M22" i="28"/>
  <c r="M31" i="27"/>
  <c r="M30" i="27"/>
  <c r="M29" i="27"/>
  <c r="M28" i="27"/>
  <c r="M27" i="27"/>
  <c r="M26" i="27"/>
  <c r="M25" i="27"/>
  <c r="M24" i="27"/>
  <c r="M23" i="27"/>
  <c r="M22" i="27"/>
  <c r="M31" i="26"/>
  <c r="M30" i="26"/>
  <c r="M29" i="26"/>
  <c r="M28" i="26"/>
  <c r="M27" i="26"/>
  <c r="M26" i="26"/>
  <c r="M25" i="26"/>
  <c r="M24" i="26"/>
  <c r="M23" i="26"/>
  <c r="M22" i="26"/>
  <c r="M31" i="25"/>
  <c r="M30" i="25"/>
  <c r="M29" i="25"/>
  <c r="M28" i="25"/>
  <c r="M27" i="25"/>
  <c r="M26" i="25"/>
  <c r="M25" i="25"/>
  <c r="M24" i="25"/>
  <c r="M23" i="25"/>
  <c r="M22" i="25"/>
  <c r="M31" i="24"/>
  <c r="M30" i="24"/>
  <c r="M29" i="24"/>
  <c r="M28" i="24"/>
  <c r="M27" i="24"/>
  <c r="M26" i="24"/>
  <c r="M25" i="24"/>
  <c r="M24" i="24"/>
  <c r="M23" i="24"/>
  <c r="M22" i="24"/>
  <c r="M31" i="23"/>
  <c r="M30" i="23"/>
  <c r="M29" i="23"/>
  <c r="M28" i="23"/>
  <c r="M27" i="23"/>
  <c r="M26" i="23"/>
  <c r="M25" i="23"/>
  <c r="M24" i="23"/>
  <c r="M23" i="23"/>
  <c r="M22" i="23"/>
  <c r="M31" i="22"/>
  <c r="M30" i="22"/>
  <c r="M29" i="22"/>
  <c r="M28" i="22"/>
  <c r="M27" i="22"/>
  <c r="M26" i="22"/>
  <c r="M25" i="22"/>
  <c r="M24" i="22"/>
  <c r="M23" i="22"/>
  <c r="M22" i="22"/>
  <c r="M31" i="21"/>
  <c r="M30" i="21"/>
  <c r="M29" i="21"/>
  <c r="M28" i="21"/>
  <c r="M27" i="21"/>
  <c r="M26" i="21"/>
  <c r="M25" i="21"/>
  <c r="M24" i="21"/>
  <c r="M23" i="21"/>
  <c r="M22" i="21"/>
  <c r="M31" i="20"/>
  <c r="M30" i="20"/>
  <c r="M29" i="20"/>
  <c r="M28" i="20"/>
  <c r="M27" i="20"/>
  <c r="M26" i="20"/>
  <c r="M25" i="20"/>
  <c r="M24" i="20"/>
  <c r="M23" i="20"/>
  <c r="M22" i="20"/>
  <c r="M31" i="19"/>
  <c r="M30" i="19"/>
  <c r="M29" i="19"/>
  <c r="M28" i="19"/>
  <c r="M27" i="19"/>
  <c r="M26" i="19"/>
  <c r="M25" i="19"/>
  <c r="M24" i="19"/>
  <c r="M23" i="19"/>
  <c r="M22" i="19"/>
  <c r="M31" i="18"/>
  <c r="M30" i="18"/>
  <c r="M29" i="18"/>
  <c r="M28" i="18"/>
  <c r="M27" i="18"/>
  <c r="M26" i="18"/>
  <c r="M25" i="18"/>
  <c r="M24" i="18"/>
  <c r="M23" i="18"/>
  <c r="M22" i="18"/>
  <c r="M31" i="17"/>
  <c r="M30" i="17"/>
  <c r="M29" i="17"/>
  <c r="M28" i="17"/>
  <c r="M27" i="17"/>
  <c r="M26" i="17"/>
  <c r="M25" i="17"/>
  <c r="M24" i="17"/>
  <c r="M23" i="17"/>
  <c r="M22" i="17"/>
  <c r="M31" i="16"/>
  <c r="M30" i="16"/>
  <c r="M29" i="16"/>
  <c r="M28" i="16"/>
  <c r="M27" i="16"/>
  <c r="M26" i="16"/>
  <c r="M25" i="16"/>
  <c r="M24" i="16"/>
  <c r="M23" i="16"/>
  <c r="M22" i="16"/>
  <c r="M31" i="15"/>
  <c r="M30" i="15"/>
  <c r="M29" i="15"/>
  <c r="M28" i="15"/>
  <c r="M27" i="15"/>
  <c r="M26" i="15"/>
  <c r="M25" i="15"/>
  <c r="M24" i="15"/>
  <c r="M23" i="15"/>
  <c r="M22" i="15"/>
  <c r="M31" i="14"/>
  <c r="M30" i="14"/>
  <c r="M29" i="14"/>
  <c r="M28" i="14"/>
  <c r="M27" i="14"/>
  <c r="M26" i="14"/>
  <c r="M25" i="14"/>
  <c r="M24" i="14"/>
  <c r="M23" i="14"/>
  <c r="M22" i="14"/>
  <c r="H26" i="32" l="1"/>
  <c r="H30" i="32"/>
  <c r="H28" i="32"/>
  <c r="H27" i="32"/>
  <c r="H25" i="32"/>
  <c r="H24" i="32"/>
  <c r="H31" i="32"/>
  <c r="H29" i="32"/>
  <c r="H23" i="32"/>
  <c r="H30" i="31"/>
  <c r="H29" i="31"/>
  <c r="H25" i="31"/>
  <c r="H24" i="31"/>
  <c r="H28" i="31"/>
  <c r="H27" i="31"/>
  <c r="H26" i="31"/>
  <c r="H31" i="31"/>
  <c r="H23" i="31"/>
  <c r="H30" i="30"/>
  <c r="H31" i="30"/>
  <c r="H28" i="30"/>
  <c r="H27" i="30"/>
  <c r="H26" i="30"/>
  <c r="H25" i="30"/>
  <c r="H29" i="30"/>
  <c r="H24" i="30"/>
  <c r="H23" i="30"/>
  <c r="H29" i="29"/>
  <c r="H30" i="29"/>
  <c r="H28" i="29"/>
  <c r="H27" i="29"/>
  <c r="H26" i="29"/>
  <c r="H25" i="29"/>
  <c r="H24" i="29"/>
  <c r="H31" i="29"/>
  <c r="H23" i="29"/>
  <c r="H30" i="28"/>
  <c r="H28" i="28"/>
  <c r="H25" i="28"/>
  <c r="H23" i="28"/>
  <c r="H29" i="28"/>
  <c r="H26" i="28"/>
  <c r="H31" i="28"/>
  <c r="H27" i="28"/>
  <c r="H24" i="28"/>
  <c r="H31" i="27"/>
  <c r="H30" i="27"/>
  <c r="H29" i="27"/>
  <c r="H28" i="27"/>
  <c r="H27" i="27"/>
  <c r="H26" i="27"/>
  <c r="H25" i="27"/>
  <c r="H24" i="27"/>
  <c r="H23" i="27"/>
  <c r="H27" i="26"/>
  <c r="H26" i="26"/>
  <c r="H24" i="26"/>
  <c r="H31" i="26"/>
  <c r="H30" i="26"/>
  <c r="H29" i="26"/>
  <c r="H28" i="26"/>
  <c r="H25" i="26"/>
  <c r="H31" i="25"/>
  <c r="H30" i="25"/>
  <c r="H29" i="25"/>
  <c r="H31" i="22"/>
  <c r="H30" i="22"/>
  <c r="H28" i="22"/>
  <c r="H27" i="22"/>
  <c r="H26" i="22"/>
  <c r="H25" i="22"/>
  <c r="H24" i="22"/>
  <c r="H23" i="22"/>
  <c r="H31" i="21"/>
  <c r="H30" i="21"/>
  <c r="H29" i="21"/>
  <c r="H28" i="21"/>
  <c r="H27" i="21"/>
  <c r="H26" i="21"/>
  <c r="H25" i="21"/>
  <c r="H24" i="21"/>
  <c r="H23" i="21"/>
  <c r="H31" i="20"/>
  <c r="H30" i="20"/>
  <c r="H29" i="20"/>
  <c r="H28" i="20"/>
  <c r="H23" i="20"/>
  <c r="H27" i="20"/>
  <c r="H26" i="20"/>
  <c r="H25" i="20"/>
  <c r="H24" i="20"/>
  <c r="H26" i="19"/>
  <c r="H23" i="19"/>
  <c r="H31" i="19"/>
  <c r="H30" i="19"/>
  <c r="H29" i="19"/>
  <c r="H28" i="19"/>
  <c r="H25" i="19"/>
  <c r="H24" i="19"/>
  <c r="H31" i="18"/>
  <c r="H30" i="18"/>
  <c r="H29" i="18"/>
  <c r="H28" i="18"/>
  <c r="H27" i="18"/>
  <c r="H26" i="18"/>
  <c r="H25" i="18"/>
  <c r="H24" i="18"/>
  <c r="H23" i="18"/>
  <c r="H31" i="17"/>
  <c r="H30" i="17"/>
  <c r="H26" i="17"/>
  <c r="H25" i="17"/>
  <c r="H24" i="17"/>
  <c r="H23" i="17"/>
  <c r="H29" i="17"/>
  <c r="H28" i="17"/>
  <c r="H27" i="17"/>
  <c r="H31" i="16"/>
  <c r="H30" i="16"/>
  <c r="H29" i="16"/>
  <c r="H28" i="16"/>
  <c r="H27" i="16"/>
  <c r="H26" i="16"/>
  <c r="H25" i="16"/>
  <c r="H24" i="16"/>
  <c r="H23" i="16"/>
  <c r="H31" i="15"/>
  <c r="H30" i="15"/>
  <c r="H29" i="15"/>
  <c r="H28" i="15"/>
  <c r="H27" i="15"/>
  <c r="H26" i="15"/>
  <c r="H25" i="15"/>
  <c r="H23" i="15"/>
  <c r="H24" i="15"/>
  <c r="H31" i="14"/>
  <c r="H29" i="14"/>
  <c r="H27" i="14"/>
  <c r="H28" i="14"/>
  <c r="H26" i="14"/>
  <c r="H24" i="14"/>
  <c r="H23" i="14"/>
  <c r="H30" i="14"/>
  <c r="H25" i="14"/>
  <c r="H28" i="25" l="1"/>
  <c r="H27" i="25"/>
  <c r="H26" i="25"/>
  <c r="H25" i="25"/>
  <c r="H24" i="25"/>
  <c r="H23" i="25"/>
  <c r="H31" i="24"/>
  <c r="H30" i="24"/>
  <c r="H29" i="24"/>
  <c r="H28" i="24"/>
  <c r="H27" i="24"/>
  <c r="H26" i="24"/>
  <c r="H25" i="24"/>
  <c r="H24" i="24"/>
  <c r="H23" i="24"/>
  <c r="H31" i="23"/>
  <c r="H30" i="23"/>
  <c r="H29" i="23"/>
  <c r="H28" i="23"/>
  <c r="H27" i="23"/>
  <c r="H26" i="23"/>
  <c r="H25" i="23"/>
  <c r="H24" i="23"/>
  <c r="H23" i="23"/>
  <c r="H29" i="22"/>
  <c r="H27" i="19"/>
  <c r="J33" i="17"/>
  <c r="J35" i="17" s="1"/>
  <c r="H23" i="26"/>
  <c r="J33" i="21"/>
  <c r="J35" i="21" s="1"/>
  <c r="J33" i="18"/>
  <c r="J35" i="18" s="1"/>
  <c r="J33" i="16"/>
  <c r="J35" i="16" s="1"/>
  <c r="J33" i="27"/>
  <c r="J35" i="27" s="1"/>
  <c r="J33" i="32"/>
  <c r="J35" i="32" s="1"/>
  <c r="J33" i="20"/>
  <c r="J35" i="20" s="1"/>
  <c r="J33" i="15"/>
  <c r="J35" i="15" s="1"/>
  <c r="J33" i="14"/>
  <c r="J35" i="14" s="1"/>
  <c r="J33" i="31" l="1"/>
  <c r="J35" i="31" s="1"/>
  <c r="J33" i="24"/>
  <c r="J35" i="24" s="1"/>
  <c r="J33" i="28"/>
  <c r="J35" i="28" s="1"/>
  <c r="J33" i="23"/>
  <c r="J35" i="23" s="1"/>
  <c r="J33" i="22"/>
  <c r="J35" i="22" s="1"/>
  <c r="J33" i="25"/>
  <c r="J35" i="25" s="1"/>
  <c r="J33" i="19"/>
  <c r="J35" i="19" s="1"/>
  <c r="J33" i="26"/>
  <c r="J35" i="26" s="1"/>
  <c r="J33" i="30"/>
  <c r="J35" i="30" s="1"/>
  <c r="J33" i="29"/>
  <c r="J35" i="29" s="1"/>
</calcChain>
</file>

<file path=xl/sharedStrings.xml><?xml version="1.0" encoding="utf-8"?>
<sst xmlns="http://schemas.openxmlformats.org/spreadsheetml/2006/main" count="614" uniqueCount="86">
  <si>
    <t>注文番号</t>
  </si>
  <si>
    <t>商品名</t>
  </si>
  <si>
    <t>お届け先氏名</t>
  </si>
  <si>
    <t>郵便番号</t>
  </si>
  <si>
    <t>都道府県</t>
  </si>
  <si>
    <t>住所1</t>
  </si>
  <si>
    <t>住所2</t>
  </si>
  <si>
    <t>電話番号</t>
  </si>
  <si>
    <t>備考</t>
  </si>
  <si>
    <t>お届け先郵便番号</t>
  </si>
  <si>
    <t>お届け先敬称</t>
  </si>
  <si>
    <t>お届け先住所1行目</t>
  </si>
  <si>
    <t>お届け先住所2行目</t>
  </si>
  <si>
    <t>お届け先住所3行目</t>
  </si>
  <si>
    <t>お届け先住所4行目</t>
  </si>
  <si>
    <t>内容品</t>
  </si>
  <si>
    <t>追跡番号</t>
  </si>
  <si>
    <t>発行日</t>
  </si>
  <si>
    <t>お届け先電話番号</t>
  </si>
  <si>
    <t>お届け先住所１</t>
  </si>
  <si>
    <t>お届け先住所２</t>
  </si>
  <si>
    <t>メールアドレス</t>
  </si>
  <si>
    <t>運送会社</t>
  </si>
  <si>
    <t>送り状番号</t>
  </si>
  <si>
    <t>到着予定日</t>
  </si>
  <si>
    <t>到着時間（From）</t>
  </si>
  <si>
    <t>到着時間（To）</t>
  </si>
  <si>
    <t>発送方法</t>
  </si>
  <si>
    <t>売上金額</t>
  </si>
  <si>
    <t>ショップ名</t>
  </si>
  <si>
    <t>ショップURL</t>
  </si>
  <si>
    <t>定期便契約ID</t>
  </si>
  <si>
    <t>ステータス</t>
  </si>
  <si>
    <t>注文日時</t>
  </si>
  <si>
    <t>注文完了日時</t>
  </si>
  <si>
    <t>送料</t>
  </si>
  <si>
    <t>クーポン値引き金額</t>
  </si>
  <si>
    <t>決済金額合計</t>
  </si>
  <si>
    <t>内消費税額</t>
  </si>
  <si>
    <t>10%消費税額</t>
  </si>
  <si>
    <t>8%消費税額</t>
  </si>
  <si>
    <t>決済手数料</t>
  </si>
  <si>
    <t>入金金額</t>
  </si>
  <si>
    <t>キャンセル料</t>
  </si>
  <si>
    <t>管理用クーポン名</t>
  </si>
  <si>
    <t>クーポン名</t>
  </si>
  <si>
    <t>クーポン割引</t>
  </si>
  <si>
    <t>支払い方法</t>
  </si>
  <si>
    <t>振込ステータス</t>
  </si>
  <si>
    <t>振込残高反映完了日時</t>
  </si>
  <si>
    <t>顧客名(姓)</t>
  </si>
  <si>
    <t>顧客名(名)</t>
  </si>
  <si>
    <t>顧客名(セイ)</t>
  </si>
  <si>
    <t>顧客名(メイ)</t>
  </si>
  <si>
    <t>住所１</t>
  </si>
  <si>
    <t>住所２</t>
  </si>
  <si>
    <t>お届け先姓</t>
  </si>
  <si>
    <t>お届け先名</t>
  </si>
  <si>
    <t>お届け先都道府県</t>
  </si>
  <si>
    <t>オーナーメモ</t>
  </si>
  <si>
    <t>住所</t>
  </si>
  <si>
    <t>以下のようなフォーマットで、データを設定してください。</t>
  </si>
  <si>
    <t>納品明細書</t>
    <phoneticPr fontId="7"/>
  </si>
  <si>
    <t>発行日：</t>
    <rPh sb="0" eb="2">
      <t>ハッコウ</t>
    </rPh>
    <rPh sb="2" eb="3">
      <t>ビ</t>
    </rPh>
    <phoneticPr fontId="7"/>
  </si>
  <si>
    <t>注文番号</t>
    <rPh sb="0" eb="2">
      <t>チュウモン</t>
    </rPh>
    <rPh sb="2" eb="4">
      <t>バンゴウ</t>
    </rPh>
    <phoneticPr fontId="7"/>
  </si>
  <si>
    <t>注文日</t>
    <rPh sb="0" eb="3">
      <t>チュウモンビ</t>
    </rPh>
    <phoneticPr fontId="7"/>
  </si>
  <si>
    <t>この度は当ショップをご利用いただき、誠にありがとうございます。</t>
    <rPh sb="2" eb="3">
      <t>タビ</t>
    </rPh>
    <rPh sb="4" eb="5">
      <t>トウ</t>
    </rPh>
    <rPh sb="11" eb="13">
      <t>リヨウ</t>
    </rPh>
    <rPh sb="18" eb="19">
      <t>マコト</t>
    </rPh>
    <phoneticPr fontId="7"/>
  </si>
  <si>
    <t>ご注文につきまして下記の通り納品いたします。ご確認のほどよろしくお願いいたします。</t>
    <rPh sb="1" eb="3">
      <t>チュウモン</t>
    </rPh>
    <rPh sb="9" eb="11">
      <t>カキ</t>
    </rPh>
    <rPh sb="12" eb="13">
      <t>トオ</t>
    </rPh>
    <rPh sb="14" eb="16">
      <t>ノウヒン</t>
    </rPh>
    <rPh sb="23" eb="25">
      <t>カクニン</t>
    </rPh>
    <rPh sb="33" eb="34">
      <t>ネガ</t>
    </rPh>
    <phoneticPr fontId="7"/>
  </si>
  <si>
    <t>ご注文者</t>
    <rPh sb="1" eb="3">
      <t>チュウモン</t>
    </rPh>
    <rPh sb="3" eb="4">
      <t>シャ</t>
    </rPh>
    <phoneticPr fontId="7"/>
  </si>
  <si>
    <t>お届け先</t>
    <rPh sb="1" eb="2">
      <t>トド</t>
    </rPh>
    <rPh sb="3" eb="4">
      <t>サキ</t>
    </rPh>
    <phoneticPr fontId="7"/>
  </si>
  <si>
    <t>総合計金額：</t>
    <rPh sb="0" eb="1">
      <t>ソウ</t>
    </rPh>
    <rPh sb="1" eb="3">
      <t>ゴウケイ</t>
    </rPh>
    <rPh sb="3" eb="5">
      <t>キンガク</t>
    </rPh>
    <phoneticPr fontId="7"/>
  </si>
  <si>
    <t>円</t>
    <rPh sb="0" eb="1">
      <t>エン</t>
    </rPh>
    <phoneticPr fontId="7"/>
  </si>
  <si>
    <t>商品名</t>
    <rPh sb="0" eb="3">
      <t>ショウヒンメイ</t>
    </rPh>
    <phoneticPr fontId="7"/>
  </si>
  <si>
    <t>単価（税込）</t>
    <rPh sb="0" eb="2">
      <t>タンカ</t>
    </rPh>
    <rPh sb="3" eb="5">
      <t>ゼイコ</t>
    </rPh>
    <phoneticPr fontId="7"/>
  </si>
  <si>
    <t>数量</t>
    <rPh sb="0" eb="2">
      <t>スウリョウ</t>
    </rPh>
    <phoneticPr fontId="7"/>
  </si>
  <si>
    <t>小計（税込）</t>
    <rPh sb="0" eb="2">
      <t>ショウケイ</t>
    </rPh>
    <rPh sb="3" eb="5">
      <t>ゼイコ</t>
    </rPh>
    <phoneticPr fontId="7"/>
  </si>
  <si>
    <t>作業列</t>
    <rPh sb="0" eb="2">
      <t>サギョウ</t>
    </rPh>
    <rPh sb="2" eb="3">
      <t>レツ</t>
    </rPh>
    <phoneticPr fontId="7"/>
  </si>
  <si>
    <t>備考：</t>
    <rPh sb="0" eb="2">
      <t>ビコウ</t>
    </rPh>
    <phoneticPr fontId="7"/>
  </si>
  <si>
    <t>送料</t>
    <rPh sb="0" eb="2">
      <t>ソウリョウ</t>
    </rPh>
    <phoneticPr fontId="7"/>
  </si>
  <si>
    <t>合計金額</t>
    <rPh sb="0" eb="2">
      <t>ゴウケイ</t>
    </rPh>
    <rPh sb="2" eb="4">
      <t>キンガク</t>
    </rPh>
    <phoneticPr fontId="7"/>
  </si>
  <si>
    <t>ご不明な点・お気づきの点がございましたらお気軽にご連絡ください。</t>
    <rPh sb="1" eb="3">
      <t>フメイ</t>
    </rPh>
    <rPh sb="4" eb="5">
      <t>テン</t>
    </rPh>
    <rPh sb="7" eb="8">
      <t>キ</t>
    </rPh>
    <rPh sb="11" eb="12">
      <t>テン</t>
    </rPh>
    <rPh sb="21" eb="23">
      <t>キガル</t>
    </rPh>
    <rPh sb="25" eb="27">
      <t>レンラク</t>
    </rPh>
    <phoneticPr fontId="7"/>
  </si>
  <si>
    <t>お支払い方法：</t>
    <rPh sb="1" eb="3">
      <t>シハラ</t>
    </rPh>
    <rPh sb="4" eb="6">
      <t>ホウホウ</t>
    </rPh>
    <phoneticPr fontId="7"/>
  </si>
  <si>
    <t>shop fuu</t>
    <phoneticPr fontId="7"/>
  </si>
  <si>
    <t>https://fuu.hp.peraichi.com/top</t>
    <phoneticPr fontId="7"/>
  </si>
  <si>
    <t>〒485-0814　愛知県小牧市古雅3-61-3</t>
    <phoneticPr fontId="7"/>
  </si>
  <si>
    <t>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</si>
</sst>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yyyy/mm/dd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BIZ UDPゴシック"/>
      <family val="2"/>
      <charset val="128"/>
    </font>
    <font>
      <u/>
      <sz val="16"/>
      <color theme="1"/>
      <name val="BIZ UDPゴシック"/>
      <family val="2"/>
      <charset val="128"/>
    </font>
    <font>
      <u/>
      <sz val="18"/>
      <color theme="1"/>
      <name val="BIZ UDPゴシック"/>
      <family val="2"/>
      <charset val="128"/>
    </font>
    <font>
      <sz val="6"/>
      <name val="BIZ UDPゴシック"/>
      <family val="2"/>
      <charset val="128"/>
    </font>
    <font>
      <sz val="11"/>
      <color theme="1"/>
      <name val="BIZ UDPゴシック"/>
      <family val="3"/>
      <charset val="128"/>
    </font>
    <font>
      <sz val="14"/>
      <color theme="1"/>
      <name val="BIZ UDPゴシック"/>
      <family val="2"/>
      <charset val="128"/>
    </font>
    <font>
      <sz val="14"/>
      <color theme="1"/>
      <name val="BIZ UDP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E5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DAEFE2"/>
        <bgColor indexed="64"/>
      </patternFill>
    </fill>
    <fill>
      <patternFill patternType="solid">
        <fgColor rgb="FFCEC7FF"/>
        <bgColor indexed="64"/>
      </patternFill>
    </fill>
    <fill>
      <patternFill patternType="solid">
        <fgColor theme="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8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" fontId="0" fillId="0" borderId="0" xfId="0" applyNumberFormat="1">
      <alignment vertical="center"/>
    </xf>
    <xf numFmtId="14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3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0" borderId="0" xfId="0" applyFont="1">
      <alignment vertical="center"/>
    </xf>
    <xf numFmtId="0" fontId="4" fillId="0" borderId="0" xfId="1">
      <alignment vertical="center"/>
    </xf>
    <xf numFmtId="0" fontId="4" fillId="0" borderId="0" xfId="1" applyAlignment="1">
      <alignment horizontal="right" vertical="center"/>
    </xf>
    <xf numFmtId="0" fontId="5" fillId="0" borderId="0" xfId="1" applyFont="1">
      <alignment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4" fontId="8" fillId="0" borderId="0" xfId="1" applyNumberFormat="1" applyFont="1" applyAlignment="1">
      <alignment horizontal="right" vertical="center"/>
    </xf>
    <xf numFmtId="0" fontId="4" fillId="8" borderId="1" xfId="1" applyFill="1" applyBorder="1" applyAlignment="1">
      <alignment horizontal="center" vertical="center"/>
    </xf>
    <xf numFmtId="14" fontId="4" fillId="0" borderId="1" xfId="1" applyNumberFormat="1" applyBorder="1" applyAlignment="1">
      <alignment horizontal="center" vertical="center"/>
    </xf>
    <xf numFmtId="0" fontId="4" fillId="0" borderId="5" xfId="1" applyBorder="1">
      <alignment vertical="center"/>
    </xf>
    <xf numFmtId="0" fontId="4" fillId="0" borderId="6" xfId="1" applyBorder="1">
      <alignment vertical="center"/>
    </xf>
    <xf numFmtId="0" fontId="4" fillId="0" borderId="7" xfId="1" applyBorder="1">
      <alignment vertical="center"/>
    </xf>
    <xf numFmtId="0" fontId="4" fillId="0" borderId="8" xfId="1" applyBorder="1">
      <alignment vertical="center"/>
    </xf>
    <xf numFmtId="0" fontId="4" fillId="0" borderId="9" xfId="1" applyBorder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9" fillId="0" borderId="13" xfId="1" applyFont="1" applyBorder="1">
      <alignment vertical="center"/>
    </xf>
    <xf numFmtId="0" fontId="10" fillId="0" borderId="13" xfId="1" applyFont="1" applyBorder="1">
      <alignment vertical="center"/>
    </xf>
    <xf numFmtId="176" fontId="10" fillId="0" borderId="13" xfId="1" applyNumberFormat="1" applyFont="1" applyBorder="1" applyAlignment="1">
      <alignment horizontal="right" vertical="center"/>
    </xf>
    <xf numFmtId="0" fontId="4" fillId="8" borderId="0" xfId="1" applyFill="1" applyAlignment="1">
      <alignment horizontal="center"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176" fontId="4" fillId="0" borderId="17" xfId="1" applyNumberFormat="1" applyBorder="1">
      <alignment vertical="center"/>
    </xf>
    <xf numFmtId="176" fontId="4" fillId="0" borderId="17" xfId="1" applyNumberFormat="1" applyBorder="1" applyAlignment="1">
      <alignment horizontal="center" vertical="center"/>
    </xf>
    <xf numFmtId="176" fontId="4" fillId="0" borderId="18" xfId="1" applyNumberFormat="1" applyBorder="1">
      <alignment vertical="center"/>
    </xf>
    <xf numFmtId="0" fontId="4" fillId="0" borderId="19" xfId="1" applyBorder="1">
      <alignment vertical="center"/>
    </xf>
    <xf numFmtId="0" fontId="4" fillId="0" borderId="20" xfId="1" applyBorder="1">
      <alignment vertical="center"/>
    </xf>
    <xf numFmtId="176" fontId="4" fillId="0" borderId="21" xfId="1" applyNumberFormat="1" applyBorder="1">
      <alignment vertical="center"/>
    </xf>
    <xf numFmtId="0" fontId="4" fillId="0" borderId="19" xfId="1" applyBorder="1" applyAlignment="1">
      <alignment vertical="center" wrapText="1"/>
    </xf>
    <xf numFmtId="0" fontId="4" fillId="0" borderId="20" xfId="1" applyBorder="1" applyAlignment="1">
      <alignment vertical="center" wrapText="1"/>
    </xf>
    <xf numFmtId="0" fontId="4" fillId="0" borderId="0" xfId="1" applyAlignment="1">
      <alignment vertical="center" wrapText="1"/>
    </xf>
    <xf numFmtId="176" fontId="4" fillId="0" borderId="22" xfId="1" applyNumberFormat="1" applyBorder="1" applyAlignment="1">
      <alignment horizontal="center" vertical="center"/>
    </xf>
    <xf numFmtId="0" fontId="4" fillId="0" borderId="24" xfId="1" applyBorder="1" applyAlignment="1">
      <alignment vertical="center" wrapText="1"/>
    </xf>
    <xf numFmtId="0" fontId="4" fillId="0" borderId="25" xfId="1" applyBorder="1" applyAlignment="1">
      <alignment vertical="center" wrapText="1"/>
    </xf>
    <xf numFmtId="176" fontId="4" fillId="0" borderId="26" xfId="1" applyNumberFormat="1" applyBorder="1" applyAlignment="1">
      <alignment horizontal="center" vertical="center"/>
    </xf>
    <xf numFmtId="176" fontId="4" fillId="0" borderId="27" xfId="1" applyNumberFormat="1" applyBorder="1">
      <alignment vertical="center"/>
    </xf>
    <xf numFmtId="176" fontId="4" fillId="0" borderId="0" xfId="1" applyNumberFormat="1">
      <alignment vertical="center"/>
    </xf>
    <xf numFmtId="0" fontId="4" fillId="0" borderId="5" xfId="1" applyBorder="1" applyAlignment="1">
      <alignment vertical="top"/>
    </xf>
    <xf numFmtId="0" fontId="4" fillId="0" borderId="6" xfId="1" applyBorder="1" applyAlignment="1">
      <alignment vertical="top"/>
    </xf>
    <xf numFmtId="0" fontId="4" fillId="0" borderId="7" xfId="1" applyBorder="1" applyAlignment="1">
      <alignment vertical="top"/>
    </xf>
    <xf numFmtId="176" fontId="4" fillId="0" borderId="1" xfId="1" applyNumberFormat="1" applyBorder="1">
      <alignment vertical="center"/>
    </xf>
    <xf numFmtId="0" fontId="4" fillId="0" borderId="8" xfId="1" applyBorder="1" applyAlignment="1">
      <alignment vertical="top"/>
    </xf>
    <xf numFmtId="0" fontId="4" fillId="0" borderId="0" xfId="1" applyAlignment="1">
      <alignment vertical="top"/>
    </xf>
    <xf numFmtId="0" fontId="4" fillId="0" borderId="9" xfId="1" applyBorder="1" applyAlignment="1">
      <alignment vertical="top"/>
    </xf>
    <xf numFmtId="0" fontId="4" fillId="0" borderId="10" xfId="1" applyBorder="1" applyAlignment="1">
      <alignment vertical="top"/>
    </xf>
    <xf numFmtId="0" fontId="4" fillId="0" borderId="11" xfId="1" applyBorder="1" applyAlignment="1">
      <alignment vertical="top"/>
    </xf>
    <xf numFmtId="0" fontId="4" fillId="0" borderId="12" xfId="1" applyBorder="1" applyAlignment="1">
      <alignment vertical="top"/>
    </xf>
    <xf numFmtId="49" fontId="4" fillId="0" borderId="5" xfId="1" applyNumberFormat="1" applyBorder="1">
      <alignment vertical="center"/>
    </xf>
    <xf numFmtId="49" fontId="4" fillId="0" borderId="8" xfId="1" applyNumberFormat="1" applyBorder="1">
      <alignment vertical="center"/>
    </xf>
    <xf numFmtId="176" fontId="4" fillId="0" borderId="22" xfId="1" applyNumberFormat="1" applyBorder="1" applyAlignment="1">
      <alignment vertical="center" wrapText="1"/>
    </xf>
    <xf numFmtId="176" fontId="4" fillId="0" borderId="29" xfId="1" applyNumberFormat="1" applyBorder="1" applyAlignment="1">
      <alignment horizontal="center" vertical="center"/>
    </xf>
    <xf numFmtId="176" fontId="4" fillId="0" borderId="17" xfId="1" applyNumberFormat="1" applyBorder="1" applyAlignment="1">
      <alignment vertical="center" wrapText="1"/>
    </xf>
    <xf numFmtId="176" fontId="4" fillId="0" borderId="26" xfId="1" applyNumberFormat="1" applyBorder="1" applyAlignment="1">
      <alignment vertical="center" wrapText="1"/>
    </xf>
    <xf numFmtId="177" fontId="8" fillId="0" borderId="0" xfId="1" applyNumberFormat="1" applyFont="1" applyAlignment="1">
      <alignment horizontal="right" vertical="center"/>
    </xf>
    <xf numFmtId="0" fontId="4" fillId="0" borderId="14" xfId="1" applyBorder="1">
      <alignment vertical="center"/>
    </xf>
    <xf numFmtId="0" fontId="4" fillId="0" borderId="23" xfId="1" applyBorder="1">
      <alignment vertical="center"/>
    </xf>
    <xf numFmtId="49" fontId="4" fillId="0" borderId="0" xfId="1" applyNumberFormat="1">
      <alignment vertical="center"/>
    </xf>
    <xf numFmtId="0" fontId="4" fillId="0" borderId="28" xfId="1" applyBorder="1">
      <alignment vertical="center"/>
    </xf>
    <xf numFmtId="49" fontId="4" fillId="0" borderId="6" xfId="1" applyNumberFormat="1" applyBorder="1">
      <alignment vertical="center"/>
    </xf>
    <xf numFmtId="49" fontId="4" fillId="0" borderId="11" xfId="1" applyNumberFormat="1" applyBorder="1">
      <alignment vertical="center"/>
    </xf>
    <xf numFmtId="49" fontId="3" fillId="7" borderId="0" xfId="0" applyNumberFormat="1" applyFont="1" applyFill="1">
      <alignment vertical="center"/>
    </xf>
    <xf numFmtId="49" fontId="0" fillId="0" borderId="0" xfId="0" applyNumberFormat="1">
      <alignment vertical="center"/>
    </xf>
    <xf numFmtId="49" fontId="3" fillId="2" borderId="0" xfId="0" applyNumberFormat="1" applyFont="1" applyFill="1">
      <alignment vertical="center"/>
    </xf>
    <xf numFmtId="49" fontId="3" fillId="4" borderId="0" xfId="0" applyNumberFormat="1" applyFont="1" applyFill="1">
      <alignment vertical="center"/>
    </xf>
    <xf numFmtId="49" fontId="3" fillId="5" borderId="0" xfId="0" applyNumberFormat="1" applyFont="1" applyFill="1">
      <alignment vertical="center"/>
    </xf>
    <xf numFmtId="49" fontId="3" fillId="0" borderId="0" xfId="0" applyNumberFormat="1" applyFont="1">
      <alignment vertical="center"/>
    </xf>
    <xf numFmtId="176" fontId="4" fillId="8" borderId="1" xfId="1" applyNumberFormat="1" applyFill="1" applyBorder="1" applyAlignment="1">
      <alignment horizontal="right" vertical="center"/>
    </xf>
    <xf numFmtId="0" fontId="4" fillId="0" borderId="1" xfId="1" applyBorder="1" applyAlignment="1">
      <alignment horizontal="center" vertical="center"/>
    </xf>
    <xf numFmtId="0" fontId="4" fillId="8" borderId="1" xfId="1" applyFill="1" applyBorder="1" applyAlignment="1">
      <alignment horizontal="center" vertical="center"/>
    </xf>
    <xf numFmtId="0" fontId="4" fillId="8" borderId="2" xfId="1" applyFill="1" applyBorder="1" applyAlignment="1">
      <alignment horizontal="center" vertical="center"/>
    </xf>
    <xf numFmtId="0" fontId="4" fillId="8" borderId="3" xfId="1" applyFill="1" applyBorder="1" applyAlignment="1">
      <alignment horizontal="center" vertical="center"/>
    </xf>
    <xf numFmtId="0" fontId="4" fillId="8" borderId="4" xfId="1" applyFill="1" applyBorder="1" applyAlignment="1">
      <alignment horizontal="center" vertical="center"/>
    </xf>
  </cellXfs>
  <cellStyles count="2">
    <cellStyle name="標準" xfId="0" builtinId="0"/>
    <cellStyle name="標準 2" xfId="1" xr:uid="{ACC718E3-4F93-4CE4-AE2B-F0187AE789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1</xdr:row>
          <xdr:rowOff>146050</xdr:rowOff>
        </xdr:from>
        <xdr:to>
          <xdr:col>4</xdr:col>
          <xdr:colOff>317500</xdr:colOff>
          <xdr:row>3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実行1_ペライチ_発送方法自動判定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463550</xdr:colOff>
          <xdr:row>6</xdr:row>
          <xdr:rowOff>190500</xdr:rowOff>
        </xdr:from>
        <xdr:to>
          <xdr:col>4</xdr:col>
          <xdr:colOff>292100</xdr:colOff>
          <xdr:row>9</xdr:row>
          <xdr:rowOff>63500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実行2_ペライチ_出荷CSV作成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406400</xdr:colOff>
          <xdr:row>12</xdr:row>
          <xdr:rowOff>0</xdr:rowOff>
        </xdr:from>
        <xdr:to>
          <xdr:col>4</xdr:col>
          <xdr:colOff>292100</xdr:colOff>
          <xdr:row>14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実行3_ペライチ_配送情報CSV作成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User/Desktop/&#21490;&#26391;/&#21508;&#31278;&#12501;&#12457;&#12540;&#12510;&#12483;&#12488;/&#12304;&#12506;&#12521;&#12452;&#12481;&#32013;&#21697;&#26360;&#12486;&#12531;&#12503;&#12524;&#12540;&#12488;&#12305;20260225.xlsm" TargetMode="External"/><Relationship Id="rId2" Type="http://schemas.openxmlformats.org/officeDocument/2006/relationships/externalLinkPath" Target="file:///C:\Users\User\Desktop\&#21490;&#26391;\&#21508;&#31278;&#12501;&#12457;&#12540;&#12510;&#12483;&#12488;\&#12304;&#12506;&#12521;&#12452;&#12481;&#32013;&#21697;&#26360;&#12486;&#12531;&#12503;&#12524;&#12540;&#12488;&#12305;20260225.xlsm" TargetMode="External"/><Relationship Id="rId1" Type="http://schemas.openxmlformats.org/officeDocument/2006/relationships/externalLinkPath" Target="/Users/User/Desktop/&#21490;&#26391;/&#21508;&#31278;&#12501;&#12457;&#12540;&#12510;&#12483;&#12488;/&#12304;&#12506;&#12521;&#12452;&#12481;&#32013;&#21697;&#26360;&#12486;&#12531;&#12503;&#12524;&#12540;&#12488;&#12305;202602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★手順★"/>
      <sheetName val="注文一覧【ペライチcsv貼付け用】"/>
      <sheetName val="注文一覧【反映用_A列のみ手入力】"/>
      <sheetName val="クリックポスト用"/>
      <sheetName val="クリック決済完了データ貼り付け"/>
      <sheetName val="佐川e飛伝用"/>
      <sheetName val="新商品リスト"/>
      <sheetName val="納品書【2行目】"/>
      <sheetName val="納品書【3行目】"/>
      <sheetName val="納品書【4行目】"/>
      <sheetName val="納品書【5行目】"/>
      <sheetName val="納品書【6行目】"/>
      <sheetName val="納品書【7行目】"/>
      <sheetName val="納品書【8行目】"/>
      <sheetName val="納品書【9行目】"/>
      <sheetName val="納品書【10行目】"/>
      <sheetName val="納品書【11行目】"/>
      <sheetName val="納品書【12行目】"/>
    </sheetNames>
    <sheetDataSet>
      <sheetData sheetId="0"/>
      <sheetData sheetId="1"/>
      <sheetData sheetId="2">
        <row r="2">
          <cell r="F2">
            <v>0</v>
          </cell>
          <cell r="AF2" t="str">
            <v/>
          </cell>
          <cell r="AG2" t="str">
            <v/>
          </cell>
          <cell r="AH2" t="str">
            <v/>
          </cell>
          <cell r="AI2" t="str">
            <v/>
          </cell>
          <cell r="AJ2" t="str">
            <v/>
          </cell>
          <cell r="AK2" t="str">
            <v/>
          </cell>
          <cell r="AL2" t="str">
            <v/>
          </cell>
          <cell r="AM2" t="str">
            <v/>
          </cell>
          <cell r="AN2" t="str">
            <v/>
          </cell>
          <cell r="AO2" t="str">
            <v/>
          </cell>
        </row>
        <row r="3"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  <cell r="AJ3" t="str">
            <v/>
          </cell>
          <cell r="AK3" t="str">
            <v/>
          </cell>
          <cell r="AL3" t="str">
            <v/>
          </cell>
          <cell r="AM3" t="str">
            <v/>
          </cell>
          <cell r="AN3" t="str">
            <v/>
          </cell>
          <cell r="AO3" t="str">
            <v/>
          </cell>
        </row>
        <row r="4"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  <cell r="AJ4" t="str">
            <v/>
          </cell>
          <cell r="AK4" t="str">
            <v/>
          </cell>
          <cell r="AL4" t="str">
            <v/>
          </cell>
          <cell r="AM4" t="str">
            <v/>
          </cell>
          <cell r="AN4" t="str">
            <v/>
          </cell>
          <cell r="AO4" t="str">
            <v/>
          </cell>
        </row>
        <row r="5"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/>
          </cell>
          <cell r="AN5" t="str">
            <v/>
          </cell>
          <cell r="AO5" t="str">
            <v/>
          </cell>
        </row>
        <row r="6"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  <cell r="AJ6" t="str">
            <v/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</row>
        <row r="7"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  <cell r="AK7" t="str">
            <v/>
          </cell>
          <cell r="AL7" t="str">
            <v/>
          </cell>
          <cell r="AM7" t="str">
            <v/>
          </cell>
          <cell r="AN7" t="str">
            <v/>
          </cell>
          <cell r="AO7" t="str">
            <v/>
          </cell>
        </row>
        <row r="8"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  <cell r="AJ8" t="str">
            <v/>
          </cell>
          <cell r="AK8" t="str">
            <v/>
          </cell>
          <cell r="AL8" t="str">
            <v/>
          </cell>
          <cell r="AM8" t="str">
            <v/>
          </cell>
          <cell r="AN8" t="str">
            <v/>
          </cell>
          <cell r="AO8" t="str">
            <v/>
          </cell>
        </row>
        <row r="9"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</row>
        <row r="10"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 t="str">
            <v/>
          </cell>
        </row>
        <row r="11"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 t="str">
            <v/>
          </cell>
          <cell r="AM11" t="str">
            <v/>
          </cell>
          <cell r="AN11" t="str">
            <v/>
          </cell>
          <cell r="AO11" t="str">
            <v/>
          </cell>
        </row>
        <row r="12"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  <cell r="AJ12" t="str">
            <v/>
          </cell>
          <cell r="AK12" t="str">
            <v/>
          </cell>
          <cell r="AL12" t="str">
            <v/>
          </cell>
          <cell r="AM12" t="str">
            <v/>
          </cell>
          <cell r="AN12" t="str">
            <v/>
          </cell>
          <cell r="AO12" t="str">
            <v/>
          </cell>
        </row>
      </sheetData>
      <sheetData sheetId="3"/>
      <sheetData sheetId="4"/>
      <sheetData sheetId="5"/>
      <sheetData sheetId="6">
        <row r="1">
          <cell r="B1" t="str">
            <v>商品名</v>
          </cell>
          <cell r="C1" t="str">
            <v>商品の金額</v>
          </cell>
        </row>
        <row r="2">
          <cell r="B2" t="str">
            <v xml:space="preserve">fuu 【雑誌】ふぇれっと1年生　vol.1 </v>
          </cell>
          <cell r="C2">
            <v>1480</v>
          </cell>
        </row>
        <row r="3">
          <cell r="B3" t="str">
            <v xml:space="preserve">fuu 【雑誌】ふぇれっと1年生　vol.2 </v>
          </cell>
          <cell r="C3">
            <v>1480</v>
          </cell>
        </row>
        <row r="4">
          <cell r="B4" t="str">
            <v xml:space="preserve">fuu 【雑誌】ふぇれっと1年生　vol.3 </v>
          </cell>
          <cell r="C4">
            <v>1480</v>
          </cell>
        </row>
        <row r="5">
          <cell r="B5" t="str">
            <v xml:space="preserve">fuu 【雑誌】ふぇれっと1年生　vol.4 </v>
          </cell>
          <cell r="C5">
            <v>1480</v>
          </cell>
        </row>
        <row r="6">
          <cell r="B6" t="str">
            <v xml:space="preserve">fuu 【雑誌】ふぇれっと1年生　vol.5 </v>
          </cell>
          <cell r="C6">
            <v>2000</v>
          </cell>
        </row>
        <row r="7">
          <cell r="B7" t="str">
            <v xml:space="preserve">fuu うまうまセレクション Special mixチモシー 700ｇ </v>
          </cell>
          <cell r="C7">
            <v>2130</v>
          </cell>
        </row>
        <row r="8">
          <cell r="B8" t="str">
            <v>fuu うまうまセレクション うさぎのごはん  容量 : 245g</v>
          </cell>
          <cell r="C8">
            <v>630</v>
          </cell>
        </row>
        <row r="9">
          <cell r="B9" t="str">
            <v>fuu うまうまセレクション うさぎのごはん  容量 : 960g</v>
          </cell>
          <cell r="C9">
            <v>1260</v>
          </cell>
        </row>
        <row r="10">
          <cell r="B10" t="str">
            <v>fuu うまうまセレクション うさぎのごはん  容量 : 3kg</v>
          </cell>
          <cell r="C10">
            <v>2940</v>
          </cell>
        </row>
        <row r="11">
          <cell r="B11" t="str">
            <v>fuu うまうまセレクション うさぎのごはん  容量 : 5kg</v>
          </cell>
          <cell r="C11">
            <v>4730</v>
          </cell>
        </row>
        <row r="12">
          <cell r="B12" t="str">
            <v>fuu うまうまセレクション うさぎのごはん  容量 : 10kg</v>
          </cell>
          <cell r="C12">
            <v>8400</v>
          </cell>
        </row>
        <row r="13">
          <cell r="B13" t="str">
            <v>fuu うまうまセレクション オーガニックミルワームのごはん  容量 : 125g</v>
          </cell>
          <cell r="C13">
            <v>480</v>
          </cell>
        </row>
        <row r="14">
          <cell r="B14" t="str">
            <v>fuu うまうまセレクション オーガニックミルワームのごはん  容量 : 380g</v>
          </cell>
          <cell r="C14">
            <v>730</v>
          </cell>
        </row>
        <row r="15">
          <cell r="B15" t="str">
            <v>fuu うまうまセレクション オーガニックミルワームのごはん  容量 : 960g</v>
          </cell>
          <cell r="C15">
            <v>1180</v>
          </cell>
        </row>
        <row r="16">
          <cell r="B16" t="str">
            <v>fuu うまうまセレクション オカメインコのごはん  容量 : 400g</v>
          </cell>
          <cell r="C16">
            <v>620</v>
          </cell>
        </row>
        <row r="17">
          <cell r="B17" t="str">
            <v>fuu うまうまセレクション オカメインコのごはん  容量 : 800g</v>
          </cell>
          <cell r="C17">
            <v>1100</v>
          </cell>
        </row>
        <row r="18">
          <cell r="B18" t="str">
            <v>fuu うまうまセレクション オカメインコのごはん  容量 : 3kg</v>
          </cell>
          <cell r="C18">
            <v>3200</v>
          </cell>
        </row>
        <row r="19">
          <cell r="B19" t="str">
            <v>fuu うまうまセレクション オカメインコのごはん  容量 : 5kg</v>
          </cell>
          <cell r="C19">
            <v>4900</v>
          </cell>
        </row>
        <row r="20">
          <cell r="B20" t="str">
            <v>fuu うまうまセレクション オカメインコのごはん  容量 : 10kg</v>
          </cell>
          <cell r="C20">
            <v>8900</v>
          </cell>
        </row>
        <row r="21">
          <cell r="B21" t="str">
            <v>fuu うまうまセレクション コオロギのごはん  容量 : 45g</v>
          </cell>
          <cell r="C21">
            <v>490</v>
          </cell>
        </row>
        <row r="22">
          <cell r="B22" t="str">
            <v>fuu うまうまセレクション コオロギのごはん  容量 : 140g</v>
          </cell>
          <cell r="C22">
            <v>760</v>
          </cell>
        </row>
        <row r="23">
          <cell r="B23" t="str">
            <v>fuu うまうまセレクション コオロギのごはん  容量 : 480g</v>
          </cell>
          <cell r="C23">
            <v>1600</v>
          </cell>
        </row>
        <row r="24">
          <cell r="B24" t="str">
            <v>fuu うまうまセレクション コオロギのごはん  容量 : 960g</v>
          </cell>
          <cell r="C24">
            <v>2590</v>
          </cell>
        </row>
        <row r="25">
          <cell r="B25" t="str">
            <v>fuu うまうまセレクション ジャービルのごはん  容量 : 210g</v>
          </cell>
          <cell r="C25">
            <v>740</v>
          </cell>
        </row>
        <row r="26">
          <cell r="B26" t="str">
            <v>fuu うまうまセレクション ジャービルのごはん  容量 : 820g</v>
          </cell>
          <cell r="C26">
            <v>1470</v>
          </cell>
        </row>
        <row r="27">
          <cell r="B27" t="str">
            <v>fuu うまうまセレクション ジリスのごはん  容量 : 245g</v>
          </cell>
          <cell r="C27">
            <v>630</v>
          </cell>
        </row>
        <row r="28">
          <cell r="B28" t="str">
            <v>fuu うまうまセレクション ジリスのごはん  容量 : 960g</v>
          </cell>
          <cell r="C28">
            <v>1260</v>
          </cell>
        </row>
        <row r="29">
          <cell r="B29" t="str">
            <v>fuu うまうまセレクション ジリスのごはん  容量 : 3kg</v>
          </cell>
          <cell r="C29">
            <v>2940</v>
          </cell>
        </row>
        <row r="30">
          <cell r="B30" t="str">
            <v>fuu うまうまセレクション ジリスのごはん  容量 : 5kg</v>
          </cell>
          <cell r="C30">
            <v>4730</v>
          </cell>
        </row>
        <row r="31">
          <cell r="B31" t="str">
            <v>fuu うまうまセレクション ジリスのごはん  容量 : 10kg</v>
          </cell>
          <cell r="C31">
            <v>8400</v>
          </cell>
        </row>
        <row r="32">
          <cell r="B32" t="str">
            <v>fuu うまうまセレクション ジリスのごはんプラス  容量 : 210g</v>
          </cell>
          <cell r="C32">
            <v>730</v>
          </cell>
        </row>
        <row r="33">
          <cell r="B33" t="str">
            <v>fuu うまうまセレクション ジリスのごはんプラス  容量 : 820g</v>
          </cell>
          <cell r="C33">
            <v>1470</v>
          </cell>
        </row>
        <row r="34">
          <cell r="B34" t="str">
            <v>fuu うまうまセレクション シロハラインコ・ウロコインコのごはん  容量 : 400g</v>
          </cell>
          <cell r="C34">
            <v>620</v>
          </cell>
        </row>
        <row r="35">
          <cell r="B35" t="str">
            <v>fuu うまうまセレクション シロハラインコ・ウロコインコのごはん  容量 : 800g</v>
          </cell>
          <cell r="C35">
            <v>1100</v>
          </cell>
        </row>
        <row r="36">
          <cell r="B36" t="str">
            <v>fuu うまうまセレクション シロハラインコ・ウロコインコのごはん  容量 : 3kg</v>
          </cell>
          <cell r="C36">
            <v>3200</v>
          </cell>
        </row>
        <row r="37">
          <cell r="B37" t="str">
            <v>fuu うまうまセレクション シロハラインコ・ウロコインコのごはん  容量 : 5kg</v>
          </cell>
          <cell r="C37">
            <v>4900</v>
          </cell>
        </row>
        <row r="38">
          <cell r="B38" t="str">
            <v>fuu うまうまセレクション シロハラインコ・ウロコインコのごはん  容量 : 10kg</v>
          </cell>
          <cell r="C38">
            <v>8900</v>
          </cell>
        </row>
        <row r="39">
          <cell r="B39" t="str">
            <v>fuu うまうまセレクション ステップレミングのごはんset  容量 : 315g (245g+70g)</v>
          </cell>
          <cell r="C39">
            <v>590</v>
          </cell>
        </row>
        <row r="40">
          <cell r="B40" t="str">
            <v>fuu うまうまセレクション ステップレミングのごはんset  容量 : 830g (685g+145g)</v>
          </cell>
          <cell r="C40">
            <v>1180</v>
          </cell>
        </row>
        <row r="41">
          <cell r="B41" t="str">
            <v>fuu うまうまセレクション チンチラ・デグーのごはん  容量 : 245g</v>
          </cell>
          <cell r="C41">
            <v>930</v>
          </cell>
        </row>
        <row r="42">
          <cell r="B42" t="str">
            <v>fuu うまうまセレクション チンチラ・デグーのごはん  容量 : 960g</v>
          </cell>
          <cell r="C42">
            <v>1260</v>
          </cell>
        </row>
        <row r="43">
          <cell r="B43" t="str">
            <v>fuu うまうまセレクション チンチラ・デグーのごはん  容量 : 3kg</v>
          </cell>
          <cell r="C43">
            <v>2940</v>
          </cell>
        </row>
        <row r="44">
          <cell r="B44" t="str">
            <v>fuu うまうまセレクション チンチラ・デグーのごはん  容量 : 5kg</v>
          </cell>
          <cell r="C44">
            <v>4730</v>
          </cell>
        </row>
        <row r="45">
          <cell r="B45" t="str">
            <v>fuu うまうまセレクション チンチラ・デグーのごはん  容量 : 10kg</v>
          </cell>
          <cell r="C45">
            <v>8400</v>
          </cell>
        </row>
        <row r="46">
          <cell r="B46" t="str">
            <v>fuu うまうまセレクション デュビアのごはん  容量 : 45g</v>
          </cell>
          <cell r="C46">
            <v>490</v>
          </cell>
        </row>
        <row r="47">
          <cell r="B47" t="str">
            <v>fuu うまうまセレクション デュビアのごはん  容量 : 140g</v>
          </cell>
          <cell r="C47">
            <v>760</v>
          </cell>
        </row>
        <row r="48">
          <cell r="B48" t="str">
            <v>fuu うまうまセレクション デュビアのごはん  容量 : 480g</v>
          </cell>
          <cell r="C48">
            <v>1600</v>
          </cell>
        </row>
        <row r="49">
          <cell r="B49" t="str">
            <v>fuu うまうまセレクション デュビアのごはん  容量 : 960g</v>
          </cell>
          <cell r="C49">
            <v>2590</v>
          </cell>
        </row>
        <row r="50">
          <cell r="B50" t="str">
            <v>fuu うまうまセレクション ハリネズミのごはん  容量 : 200g</v>
          </cell>
          <cell r="C50">
            <v>840</v>
          </cell>
        </row>
        <row r="51">
          <cell r="B51" t="str">
            <v>fuu うまうまセレクション ハリネズミのごはん  容量 : 700g</v>
          </cell>
          <cell r="C51">
            <v>1740</v>
          </cell>
        </row>
        <row r="52">
          <cell r="B52" t="str">
            <v>fuu うまうまセレクション フェレットのごはんmixプレミアム  容量 : 820g</v>
          </cell>
          <cell r="C52">
            <v>2780</v>
          </cell>
        </row>
        <row r="53">
          <cell r="B53" t="str">
            <v>fuu うまうまセレクション フェレットのごはんmixプレミアム  容量 : 1400g</v>
          </cell>
          <cell r="C53">
            <v>3780</v>
          </cell>
        </row>
        <row r="54">
          <cell r="B54" t="str">
            <v>fuu うまうまセレクション マウスのごはん  容量 : 240g</v>
          </cell>
          <cell r="C54">
            <v>650</v>
          </cell>
        </row>
        <row r="55">
          <cell r="B55" t="str">
            <v>fuu うまうまセレクション マウスのごはん  容量 : 920g</v>
          </cell>
          <cell r="C55">
            <v>1290</v>
          </cell>
        </row>
        <row r="56">
          <cell r="B56" t="str">
            <v xml:space="preserve">fuu うまうまセレクション ミーアキャットのごはんmix </v>
          </cell>
          <cell r="C56">
            <v>2200</v>
          </cell>
        </row>
        <row r="57">
          <cell r="B57" t="str">
            <v>fuu うまうまセレクション モモンガのごはん  容量 : 175g</v>
          </cell>
          <cell r="C57">
            <v>1410</v>
          </cell>
        </row>
        <row r="58">
          <cell r="B58" t="str">
            <v>fuu うまうまセレクション モモンガのごはん  容量 : 640g</v>
          </cell>
          <cell r="C58">
            <v>3400</v>
          </cell>
        </row>
        <row r="59">
          <cell r="B59" t="str">
            <v>fuu うまうまセレクション モルモットのごはん  容量 : 245g</v>
          </cell>
          <cell r="C59">
            <v>630</v>
          </cell>
        </row>
        <row r="60">
          <cell r="B60" t="str">
            <v>fuu うまうまセレクション モルモットのごはん  容量 : 960g</v>
          </cell>
          <cell r="C60">
            <v>1260</v>
          </cell>
        </row>
        <row r="61">
          <cell r="B61" t="str">
            <v>fuu うまうまセレクション モルモットのごはん  容量 : 3kg</v>
          </cell>
          <cell r="C61">
            <v>2940</v>
          </cell>
        </row>
        <row r="62">
          <cell r="B62" t="str">
            <v>fuu うまうまセレクション モルモットのごはん  容量 : 5kg</v>
          </cell>
          <cell r="C62">
            <v>4730</v>
          </cell>
        </row>
        <row r="63">
          <cell r="B63" t="str">
            <v>fuu うまうまセレクション モルモットのごはん  容量 : 10kg</v>
          </cell>
          <cell r="C63">
            <v>8400</v>
          </cell>
        </row>
        <row r="64">
          <cell r="B64" t="str">
            <v>fuu うまうまセレクション モルモットのブレンドごはん野菜plus  容量 : 210g</v>
          </cell>
          <cell r="C64">
            <v>720</v>
          </cell>
        </row>
        <row r="65">
          <cell r="B65" t="str">
            <v>fuu うまうまセレクション モルモットのブレンドごはん野菜plus  容量 : 820g</v>
          </cell>
          <cell r="C65">
            <v>1430</v>
          </cell>
        </row>
        <row r="66">
          <cell r="B66" t="str">
            <v>fuu うまうまセレクション モルモットのブレンドごはん野菜plus 【3kg】</v>
          </cell>
          <cell r="C66">
            <v>4000</v>
          </cell>
        </row>
        <row r="67">
          <cell r="B67" t="str">
            <v>fuu うまうまセレクション ラブバードのごはん  容量 : 400g</v>
          </cell>
          <cell r="C67">
            <v>620</v>
          </cell>
        </row>
        <row r="68">
          <cell r="B68" t="str">
            <v>fuu うまうまセレクション ラブバードのごはん  容量 : 800g</v>
          </cell>
          <cell r="C68">
            <v>1100</v>
          </cell>
        </row>
        <row r="69">
          <cell r="B69" t="str">
            <v>fuu うまうまセレクション ラブバードのごはん  容量 : 3kg</v>
          </cell>
          <cell r="C69">
            <v>3200</v>
          </cell>
        </row>
        <row r="70">
          <cell r="B70" t="str">
            <v>fuu うまうまセレクション ラブバードのごはん  容量 : 5kg</v>
          </cell>
          <cell r="C70">
            <v>4900</v>
          </cell>
        </row>
        <row r="71">
          <cell r="B71" t="str">
            <v>fuu うまうまセレクション ラブバードのごはん  容量 : 10kg</v>
          </cell>
          <cell r="C71">
            <v>8900</v>
          </cell>
        </row>
        <row r="72">
          <cell r="B72" t="str">
            <v>fuu うまうまセレクション リスハムミックスプラス  容量 : 215g</v>
          </cell>
          <cell r="C72">
            <v>630</v>
          </cell>
        </row>
        <row r="73">
          <cell r="B73" t="str">
            <v>fuu うまうまセレクション リスハムミックスプラス  容量 : 880g</v>
          </cell>
          <cell r="C73">
            <v>1260</v>
          </cell>
        </row>
        <row r="74">
          <cell r="B74" t="str">
            <v>fuu うまうまセレクション リスハムミックスプラス  容量 : 3kg</v>
          </cell>
          <cell r="C74">
            <v>2940</v>
          </cell>
        </row>
        <row r="75">
          <cell r="B75" t="str">
            <v>fuu うまうまセレクション リスハムミックスプラス  容量 : 5kg</v>
          </cell>
          <cell r="C75">
            <v>4730</v>
          </cell>
        </row>
        <row r="76">
          <cell r="B76" t="str">
            <v>fuu うまうまセレクション リスハムミックスプラス  容量 : 10kg</v>
          </cell>
          <cell r="C76">
            <v>8400</v>
          </cell>
        </row>
        <row r="77">
          <cell r="B77" t="str">
            <v>fuu うまうまセレクション 小動物たちの腸活 だいちのめぐみ  種類 : ペレットタイプ 250g</v>
          </cell>
          <cell r="C77">
            <v>1650</v>
          </cell>
        </row>
        <row r="78">
          <cell r="B78" t="str">
            <v>fuu うまうまセレクション 小動物たちの腸活 だいちのめぐみ  種類 : 繊維タイプ 200g</v>
          </cell>
          <cell r="C78">
            <v>1650</v>
          </cell>
        </row>
        <row r="79">
          <cell r="B79" t="str">
            <v>fuu うまうまセレクション 小動物のおやつ フィッシュスティック  種類 : 白 容量 : 15g</v>
          </cell>
          <cell r="C79">
            <v>690</v>
          </cell>
        </row>
        <row r="80">
          <cell r="B80" t="str">
            <v>fuu うまうまセレクション 小動物のおやつ フィッシュスティック  種類 : 黒 容量 : 15g</v>
          </cell>
          <cell r="C80">
            <v>690</v>
          </cell>
        </row>
        <row r="81">
          <cell r="B81" t="str">
            <v>fuu うまうまセレクション 小動物のおやつ フィッシュスティック  種類 : 白 容量 : 25g</v>
          </cell>
          <cell r="C81">
            <v>960</v>
          </cell>
        </row>
        <row r="82">
          <cell r="B82" t="str">
            <v>fuu うまうまセレクション 小動物のおやつ フィッシュスティック  種類 : 黒 容量 : 25g</v>
          </cell>
          <cell r="C82">
            <v>960</v>
          </cell>
        </row>
        <row r="83">
          <cell r="B83" t="str">
            <v>fuu うまうまセレクション 文鳥・セキセイインコのごはん  容量 : 400g</v>
          </cell>
          <cell r="C83">
            <v>620</v>
          </cell>
        </row>
        <row r="84">
          <cell r="B84" t="str">
            <v>fuu うまうまセレクション 文鳥・セキセイインコのごはん  容量 : 800g</v>
          </cell>
          <cell r="C84">
            <v>1100</v>
          </cell>
        </row>
        <row r="85">
          <cell r="B85" t="str">
            <v>fuu うまうまセレクション 文鳥・セキセイインコのごはん  容量 : 3kg</v>
          </cell>
          <cell r="C85">
            <v>3200</v>
          </cell>
        </row>
        <row r="86">
          <cell r="B86" t="str">
            <v>fuu うまうまセレクション 文鳥・セキセイインコのごはん  容量 : 5kg</v>
          </cell>
          <cell r="C86">
            <v>4900</v>
          </cell>
        </row>
        <row r="87">
          <cell r="B87" t="str">
            <v>fuu うまうまセレクション 文鳥・セキセイインコのごはん  容量 : 10kg</v>
          </cell>
          <cell r="C87">
            <v>8900</v>
          </cell>
        </row>
        <row r="88">
          <cell r="B88" t="str">
            <v>fuu オリジナル　MIXチモシー  容量 : 700g</v>
          </cell>
          <cell r="C88">
            <v>2180</v>
          </cell>
        </row>
        <row r="89">
          <cell r="B89" t="str">
            <v>fuu オリジナル　MIXチモシー  容量 : 1kg</v>
          </cell>
          <cell r="C89">
            <v>2430</v>
          </cell>
        </row>
        <row r="90">
          <cell r="B90" t="str">
            <v>fuu オリジナル　MIXチモシー  容量 : 2kg</v>
          </cell>
          <cell r="C90">
            <v>3950</v>
          </cell>
        </row>
        <row r="91">
          <cell r="B91" t="str">
            <v>fuu オリジナル　MIXチモシー  容量 : 3kg</v>
          </cell>
          <cell r="C91">
            <v>5150</v>
          </cell>
        </row>
        <row r="92">
          <cell r="B92" t="str">
            <v>fuu かわいい動物柄の陶器フードボール ユニコーン  カラー : ピンク</v>
          </cell>
          <cell r="C92">
            <v>2230</v>
          </cell>
        </row>
        <row r="93">
          <cell r="B93" t="str">
            <v>fuu かわいい動物柄の陶器フードボール ユニコーン  カラー : ブルー</v>
          </cell>
          <cell r="C93">
            <v>2230</v>
          </cell>
        </row>
        <row r="94">
          <cell r="B94" t="str">
            <v>fuu コオロギ・デュビアの飼育用 卵パック  枚数 : 5枚</v>
          </cell>
          <cell r="C94">
            <v>1490</v>
          </cell>
        </row>
        <row r="95">
          <cell r="B95" t="str">
            <v>fuu コオロギ・デュビアの飼育用 卵パック  枚数 : 10枚</v>
          </cell>
          <cell r="C95">
            <v>1890</v>
          </cell>
        </row>
        <row r="96">
          <cell r="B96" t="str">
            <v>fuu コオロギ・デュビアの飼育用 卵パック  枚数 : 20枚</v>
          </cell>
          <cell r="C96">
            <v>2590</v>
          </cell>
        </row>
        <row r="97">
          <cell r="B97" t="str">
            <v>fuu チモシー1番刈り  容量 : 1kg</v>
          </cell>
          <cell r="C97">
            <v>1520</v>
          </cell>
        </row>
        <row r="98">
          <cell r="B98" t="str">
            <v>fuu チモシー1番刈り  容量 : 2.5kg</v>
          </cell>
          <cell r="C98">
            <v>2530</v>
          </cell>
        </row>
        <row r="99">
          <cell r="B99" t="str">
            <v>fuu チモシー1番刈り  容量 : 3kg</v>
          </cell>
          <cell r="C99">
            <v>2930</v>
          </cell>
        </row>
        <row r="100">
          <cell r="B100" t="str">
            <v>fuu チモシー1番刈り  容量 : 6kg</v>
          </cell>
          <cell r="C100">
            <v>4790</v>
          </cell>
        </row>
        <row r="101">
          <cell r="B101" t="str">
            <v>fuu チモシー1番刈り  容量 : 9kg</v>
          </cell>
          <cell r="C101">
            <v>6680</v>
          </cell>
        </row>
        <row r="102">
          <cell r="B102" t="str">
            <v>fuu ふりふり鳥のおもちゃマラカス【アソート】  個数 : 1個入り</v>
          </cell>
          <cell r="C102">
            <v>370</v>
          </cell>
        </row>
        <row r="103">
          <cell r="B103" t="str">
            <v>fuu ふりふり鳥のおもちゃマラカス【アソート】  個数 : 3個入り</v>
          </cell>
          <cell r="C103">
            <v>550</v>
          </cell>
        </row>
        <row r="104">
          <cell r="B104" t="str">
            <v>fuu ふりふり鳥のおもちゃマラカス【アソート】  個数 : 5個入り</v>
          </cell>
          <cell r="C104">
            <v>720</v>
          </cell>
        </row>
        <row r="105">
          <cell r="B105" t="str">
            <v>fuu ふりふり鳥のおもちゃマラカス【アソート】  個数 : 10個入り</v>
          </cell>
          <cell r="C105">
            <v>1160</v>
          </cell>
        </row>
        <row r="106">
          <cell r="B106" t="str">
            <v xml:space="preserve">fuu ふんわりminiマシュマロ  種類 : とろ〜り青りんご 容量 : 25g </v>
          </cell>
          <cell r="C106">
            <v>700</v>
          </cell>
        </row>
        <row r="107">
          <cell r="B107" t="str">
            <v>fuu ふんわりminiマシュマロ  種類 : とろ〜り青りんご 容量 : 25g</v>
          </cell>
          <cell r="C107">
            <v>1080</v>
          </cell>
        </row>
        <row r="108">
          <cell r="B108" t="str">
            <v>fuu ふんわりminiマシュマロ  種類 : とろ〜りいちご 容量 : 25g</v>
          </cell>
          <cell r="C108">
            <v>700</v>
          </cell>
        </row>
        <row r="109">
          <cell r="B109" t="str">
            <v>fuu ふんわりminiマシュマロ  種類 : とろ〜りいちご 容量 : 50g</v>
          </cell>
          <cell r="C109">
            <v>1080</v>
          </cell>
        </row>
        <row r="110">
          <cell r="B110" t="str">
            <v>fuu ふんわりminiマシュマロ  種類 : 小粒パステル 容量 : 25g</v>
          </cell>
          <cell r="C110">
            <v>700</v>
          </cell>
        </row>
        <row r="111">
          <cell r="B111" t="str">
            <v>fuu ふんわりminiマシュマロ  種類 : 小粒パステル 容量 : 50g</v>
          </cell>
          <cell r="C111">
            <v>1080</v>
          </cell>
        </row>
        <row r="112">
          <cell r="B112" t="str">
            <v>fuu ホイップましゅまろハウス  サイズ : S</v>
          </cell>
          <cell r="C112">
            <v>1870</v>
          </cell>
        </row>
        <row r="113">
          <cell r="B113" t="str">
            <v>fuu ホイップましゅまろハウス  サイズ : L</v>
          </cell>
          <cell r="C113">
            <v>2170</v>
          </cell>
        </row>
        <row r="114">
          <cell r="B114" t="str">
            <v>fuu 小動物のおやつ やぎみるくボーン  容量 : 50g</v>
          </cell>
          <cell r="C114">
            <v>810</v>
          </cell>
        </row>
        <row r="115">
          <cell r="B115" t="str">
            <v>fuu 小動物のおやつ やぎみるくボーン  容量 : 150g</v>
          </cell>
          <cell r="C115">
            <v>1630</v>
          </cell>
        </row>
        <row r="116">
          <cell r="B116" t="str">
            <v>fuu 小動物のハーネス&amp;リード かわいい恐竜  カラー : ピンク</v>
          </cell>
          <cell r="C116">
            <v>2140</v>
          </cell>
        </row>
        <row r="117">
          <cell r="B117" t="str">
            <v>fuu 小動物のハーネス&amp;リード かわいい恐竜  カラー : ブルー</v>
          </cell>
          <cell r="C117">
            <v>2140</v>
          </cell>
        </row>
        <row r="118">
          <cell r="B118" t="str">
            <v>fuu 小動物のハーネス&amp;リード かわいい恐竜  カラー : グリーン</v>
          </cell>
          <cell r="C118">
            <v>2140</v>
          </cell>
        </row>
        <row r="119">
          <cell r="B119" t="str">
            <v>fuu 小動物のハーネス&amp;リード かわいい恐竜  カラー : イエロー</v>
          </cell>
          <cell r="C119">
            <v>2140</v>
          </cell>
        </row>
        <row r="120">
          <cell r="B120" t="str">
            <v>fuu 小動物のふんわりマーメイドシェルポーチ</v>
          </cell>
          <cell r="C120">
            <v>2360</v>
          </cell>
        </row>
        <row r="121">
          <cell r="B121" t="str">
            <v>fuu 小動物の吊りおもちゃ ヘチマとかじり木  モチーフ : もも</v>
          </cell>
          <cell r="C121">
            <v>2810</v>
          </cell>
        </row>
        <row r="122">
          <cell r="B122" t="str">
            <v>fuu 小動物の吊りおもちゃ ヘチマとかじり木  モチーフ : かき</v>
          </cell>
          <cell r="C122">
            <v>2810</v>
          </cell>
        </row>
        <row r="123">
          <cell r="B123" t="str">
            <v>fuu 小動物の吊るせる四角いハウス  サイズ : S 柄 : うさ柄</v>
          </cell>
          <cell r="C123">
            <v>1770</v>
          </cell>
        </row>
        <row r="124">
          <cell r="B124" t="str">
            <v>fuu 小動物の吊るせる四角いハウス  サイズ : S 柄 : いちご柄</v>
          </cell>
          <cell r="C124">
            <v>1770</v>
          </cell>
        </row>
        <row r="125">
          <cell r="B125" t="str">
            <v>fuu 小動物の吊るせる四角いハウス  サイズ : M 柄 : うさ柄</v>
          </cell>
          <cell r="C125">
            <v>2260</v>
          </cell>
        </row>
        <row r="126">
          <cell r="B126" t="str">
            <v>fuu 小動物の吊るせる四角いハウス  サイズ : M 柄 : いちご柄</v>
          </cell>
          <cell r="C126">
            <v>2260</v>
          </cell>
        </row>
        <row r="127">
          <cell r="B127" t="str">
            <v>fuu 小動物の吊るせる四角いハウス  サイズ : L 柄 : うさ柄</v>
          </cell>
          <cell r="C127">
            <v>2780</v>
          </cell>
        </row>
        <row r="128">
          <cell r="B128" t="str">
            <v>fuu 小動物の吊るせる四角いハウス  サイズ : L 柄 : いちご柄</v>
          </cell>
          <cell r="C128">
            <v>2780</v>
          </cell>
        </row>
        <row r="129">
          <cell r="B129" t="str">
            <v>fuu 小動物の吊るせる四角いハウス  サイズ : XL 柄 : うさ柄</v>
          </cell>
          <cell r="C129">
            <v>3280</v>
          </cell>
        </row>
        <row r="130">
          <cell r="B130" t="str">
            <v>fuu 小動物の吊るせる四角いハウス  サイズ : XL 柄 : いちご柄</v>
          </cell>
          <cell r="C130">
            <v>3280</v>
          </cell>
        </row>
        <row r="131">
          <cell r="B131" t="str">
            <v>fuu 小動物用 陶器のえさ水入れ  カラー : ピンク サイズ : 丸型(S)</v>
          </cell>
          <cell r="C131">
            <v>1640</v>
          </cell>
        </row>
        <row r="132">
          <cell r="B132" t="str">
            <v>fuu 小動物用 陶器のえさ水入れ  カラー : ブルー サイズ : 丸型(S)</v>
          </cell>
          <cell r="C132">
            <v>1640</v>
          </cell>
        </row>
        <row r="133">
          <cell r="B133" t="str">
            <v>fuu 小動物用 陶器のえさ水入れ  カラー : ピンク サイズ : 丸型(M)</v>
          </cell>
          <cell r="C133">
            <v>1640</v>
          </cell>
        </row>
        <row r="134">
          <cell r="B134" t="str">
            <v>fuu 小動物用 陶器のえさ水入れ  カラー : ブルー サイズ : 丸型(M)</v>
          </cell>
          <cell r="C134">
            <v>1640</v>
          </cell>
        </row>
        <row r="135">
          <cell r="B135" t="str">
            <v>fuu 小動物用 陶器のえさ水入れ  カラー : ピンク サイズ : 三角形</v>
          </cell>
          <cell r="C135">
            <v>1640</v>
          </cell>
        </row>
        <row r="136">
          <cell r="B136" t="str">
            <v>fuu 小動物用 陶器のえさ水入れ  カラー : ブルー サイズ : 三角形</v>
          </cell>
          <cell r="C136">
            <v>1640</v>
          </cell>
        </row>
        <row r="137">
          <cell r="B137" t="str">
            <v>fuu 小動物用 陶器のえさ水入れ 金具付き (スイーツ) 大サイズ  カラー : ピンク</v>
          </cell>
          <cell r="C137">
            <v>3170</v>
          </cell>
        </row>
        <row r="138">
          <cell r="B138" t="str">
            <v>fuu 小動物用 陶器のえさ水入れ 金具付き (スイーツ) 大サイズ  カラー : ブルー</v>
          </cell>
          <cell r="C138">
            <v>3170</v>
          </cell>
        </row>
        <row r="139">
          <cell r="B139" t="str">
            <v>fuu 小動物用 陶器のえさ水入れ 金具付き Lサイズ  カラー : ピンク</v>
          </cell>
          <cell r="C139">
            <v>3170</v>
          </cell>
        </row>
        <row r="140">
          <cell r="B140" t="str">
            <v>fuu 小動物用 陶器のえさ水入れ 金具付き Lサイズ  カラー : ブルー</v>
          </cell>
          <cell r="C140">
            <v>3170</v>
          </cell>
        </row>
        <row r="141">
          <cell r="B141" t="str">
            <v>fuu 小動物用 陶器のえさ入れ【ケーキ】S  カラー : ピンク</v>
          </cell>
          <cell r="C141">
            <v>2690</v>
          </cell>
        </row>
        <row r="142">
          <cell r="B142" t="str">
            <v>fuu 小動物用 陶器のえさ入れ【ケーキ】S  カラー : ブルー</v>
          </cell>
          <cell r="C142">
            <v>2690</v>
          </cell>
        </row>
        <row r="143">
          <cell r="B143" t="str">
            <v>fuu 小動物用 陶器のえさ入れ【金具付き】S  カラー : ピンク</v>
          </cell>
          <cell r="C143">
            <v>2690</v>
          </cell>
        </row>
        <row r="144">
          <cell r="B144" t="str">
            <v>fuu 小動物用 陶器のえさ入れ【金具付き】S  カラー : ホワイト</v>
          </cell>
          <cell r="C144">
            <v>2690</v>
          </cell>
        </row>
        <row r="145">
          <cell r="B145" t="str">
            <v>fuu 小動物用 陶器のチモシーポッド（スイーツ）  カラー : ピンク</v>
          </cell>
          <cell r="C145">
            <v>4490</v>
          </cell>
        </row>
        <row r="146">
          <cell r="B146" t="str">
            <v>fuu 小動物用 陶器のチモシーポッド（スイーツ）  カラー : ブルー</v>
          </cell>
          <cell r="C146">
            <v>4490</v>
          </cell>
        </row>
        <row r="147">
          <cell r="B147" t="str">
            <v>fuu 小動物用 陶器のトワレ  カラー : ピンク</v>
          </cell>
          <cell r="C147">
            <v>6020</v>
          </cell>
        </row>
        <row r="148">
          <cell r="B148" t="str">
            <v>fuu 小動物用 陶器のトワレ  カラー : ブルー</v>
          </cell>
          <cell r="C148">
            <v>6020</v>
          </cell>
        </row>
        <row r="149">
          <cell r="B149" t="str">
            <v>fuu 小動物用 陶器のトワレ（スイーツ）  カラー : ピンク</v>
          </cell>
          <cell r="C149">
            <v>6430</v>
          </cell>
        </row>
        <row r="150">
          <cell r="B150" t="str">
            <v>fuu 小動物用 陶器のトワレ（スイーツ）  カラー : ブルー</v>
          </cell>
          <cell r="C150">
            <v>6430</v>
          </cell>
        </row>
        <row r="151">
          <cell r="B151" t="str">
            <v>fuu 小動物用 陶器のトワレ【小】  カラー : ピンク</v>
          </cell>
          <cell r="C151">
            <v>5800</v>
          </cell>
        </row>
        <row r="152">
          <cell r="B152" t="str">
            <v>fuu 小動物用 陶器のトワレ【小】  カラー : ブルー</v>
          </cell>
          <cell r="C152">
            <v>5800</v>
          </cell>
        </row>
        <row r="153">
          <cell r="B153" t="str">
            <v>fuu 小動物用 陶器のハウス  カラー : ピンク</v>
          </cell>
          <cell r="C153">
            <v>4980</v>
          </cell>
        </row>
        <row r="154">
          <cell r="B154" t="str">
            <v>fuu 小動物用 陶器のハウス  カラー : ブルー</v>
          </cell>
          <cell r="C154">
            <v>4980</v>
          </cell>
        </row>
        <row r="155">
          <cell r="B155" t="str">
            <v>fuu 小動物用 陶器のハウス 大きなキノコ</v>
          </cell>
          <cell r="C155">
            <v>5290</v>
          </cell>
        </row>
        <row r="156">
          <cell r="B156" t="str">
            <v>fuu 小動物用 陶器のハウス【うさぎ型】  カラー : ピンク</v>
          </cell>
          <cell r="C156">
            <v>4200</v>
          </cell>
        </row>
        <row r="157">
          <cell r="B157" t="str">
            <v>fuu 小動物用 陶器のハウス【うさぎ型】  カラー : ブルー</v>
          </cell>
          <cell r="C157">
            <v>4200</v>
          </cell>
        </row>
        <row r="158">
          <cell r="B158" t="str">
            <v>fuu 小動物用 陶器の貝がらハウス  カラー : ピンク</v>
          </cell>
          <cell r="C158">
            <v>4890</v>
          </cell>
        </row>
        <row r="159">
          <cell r="B159" t="str">
            <v>fuu 小動物用 陶器の貝がらハウス  カラー : ブルー</v>
          </cell>
          <cell r="C159">
            <v>4890</v>
          </cell>
        </row>
        <row r="160">
          <cell r="B160" t="str">
            <v>fuu 小動物用 陶器の白い貝がらハウス  サイズ : 小 カラー : ピンク</v>
          </cell>
          <cell r="C160">
            <v>3060</v>
          </cell>
        </row>
        <row r="161">
          <cell r="B161" t="str">
            <v>fuu 小動物用 陶器の白い貝がらハウス  サイズ : 小 カラー : ブルー</v>
          </cell>
          <cell r="C161">
            <v>3060</v>
          </cell>
        </row>
        <row r="162">
          <cell r="B162" t="str">
            <v>fuu 小動物用 陶器の白い貝がらハウス  サイズ : 大 カラー : ピンク</v>
          </cell>
          <cell r="C162">
            <v>6230</v>
          </cell>
        </row>
        <row r="163">
          <cell r="B163" t="str">
            <v>fuu 小動物用 陶器の白い貝がらハウス  サイズ : 大 カラー : ブルー</v>
          </cell>
          <cell r="C163">
            <v>6230</v>
          </cell>
        </row>
        <row r="164">
          <cell r="B164" t="str">
            <v>fuu 草食動物のうまうま自家製おやつ オリジナルmixチモシークッキー  サイズ : 4個入り</v>
          </cell>
          <cell r="C164">
            <v>780</v>
          </cell>
        </row>
        <row r="165">
          <cell r="B165" t="str">
            <v>fuu 草食動物のうまうま自家製おやつ オリジナルmixチモシークッキー  サイズ : 10個入り</v>
          </cell>
          <cell r="C165">
            <v>1380</v>
          </cell>
        </row>
        <row r="166">
          <cell r="B166" t="str">
            <v>fuu 草食動物のうまうま自家製おやつ オリジナルmixチモシークッキー  サイズ : アソートBOX</v>
          </cell>
          <cell r="C166">
            <v>2260</v>
          </cell>
        </row>
        <row r="167">
          <cell r="B167" t="str">
            <v>fuu 草食動物のおやつ 牧草クッキー【ランダム10個セット】</v>
          </cell>
          <cell r="C167">
            <v>2900</v>
          </cell>
        </row>
        <row r="168">
          <cell r="B168" t="str">
            <v>fuu 草食動物のおやつ 牧草クッキー【ランダム3個セット】</v>
          </cell>
          <cell r="C168">
            <v>1140</v>
          </cell>
        </row>
        <row r="169">
          <cell r="B169" t="str">
            <v>fuu 鳥・小動物のあったかいちごのテントハンモック  カラー : ピンク サイズ : S</v>
          </cell>
          <cell r="C169">
            <v>1660</v>
          </cell>
        </row>
        <row r="170">
          <cell r="B170" t="str">
            <v>fuu 鳥・小動物のあったかいちごのテントハンモック  カラー : ブルー サイズ : S</v>
          </cell>
          <cell r="C170">
            <v>1660</v>
          </cell>
        </row>
        <row r="171">
          <cell r="B171" t="str">
            <v>fuu 鳥・小動物のあったかいちごのテントハンモック  カラー : ピンク サイズ : L</v>
          </cell>
          <cell r="C171">
            <v>2030</v>
          </cell>
        </row>
        <row r="172">
          <cell r="B172" t="str">
            <v>fuu 鳥・小動物のあったかいちごのテントハンモック  カラー : ブルー サイズ : L</v>
          </cell>
          <cell r="C172">
            <v>2030</v>
          </cell>
        </row>
        <row r="173">
          <cell r="B173" t="str">
            <v>fuu 鳥・小動物のふかふかシェルベッドsweets  サイズ : S</v>
          </cell>
          <cell r="C173">
            <v>3780</v>
          </cell>
        </row>
        <row r="174">
          <cell r="B174" t="str">
            <v>fuu 鳥・小動物のふかふかシェルベッドsweets  サイズ : M</v>
          </cell>
          <cell r="C174">
            <v>4300</v>
          </cell>
        </row>
        <row r="175">
          <cell r="B175" t="str">
            <v>fuu 鳥・小動物のふかふかシェルベッドsweets  サイズ : L</v>
          </cell>
          <cell r="C175">
            <v>4770</v>
          </cell>
        </row>
        <row r="176">
          <cell r="B176" t="str">
            <v>fuu 鳥・小動物の固定できる木製ベッドステージ</v>
          </cell>
          <cell r="C176">
            <v>3820</v>
          </cell>
        </row>
        <row r="177">
          <cell r="B177" t="str">
            <v>fuu 鳥・小動物の吊りおもちゃ カラフル６連わら</v>
          </cell>
          <cell r="C177">
            <v>1490</v>
          </cell>
        </row>
        <row r="178">
          <cell r="B178" t="str">
            <v>fuu 鳥・小動物の吊るして固定できる木製５段ステップ</v>
          </cell>
          <cell r="C178">
            <v>4450</v>
          </cell>
        </row>
        <row r="179">
          <cell r="B179" t="str">
            <v>fuu 鳥・小動物の吊るせる木製ベッド ゴンドラ</v>
          </cell>
          <cell r="C179">
            <v>3620</v>
          </cell>
        </row>
        <row r="180">
          <cell r="B180" t="str">
            <v>fuu 鳥・小動物の陶器のエサ入れ セパレート  カラー : ピンク</v>
          </cell>
          <cell r="C180">
            <v>2060</v>
          </cell>
        </row>
        <row r="181">
          <cell r="B181" t="str">
            <v>fuu 鳥・小動物の陶器のエサ入れ セパレート  カラー : ブルーグリーン</v>
          </cell>
          <cell r="C181">
            <v>2060</v>
          </cell>
        </row>
        <row r="182">
          <cell r="B182" t="str">
            <v>fuu 鳥・小動物の木製おもちゃ　まわる♪お花のかじり木  サイズ : 大</v>
          </cell>
          <cell r="C182">
            <v>1670</v>
          </cell>
        </row>
        <row r="183">
          <cell r="B183" t="str">
            <v>fuu 鳥・小動物の木製おもちゃ　まわる♪お花のかじり木  サイズ : 小</v>
          </cell>
          <cell r="C183">
            <v>1570</v>
          </cell>
        </row>
        <row r="184">
          <cell r="B184" t="str">
            <v>fuu 陶器チモシーポッド【コーナー型】  カラー : ピンク</v>
          </cell>
          <cell r="C184">
            <v>4500</v>
          </cell>
        </row>
        <row r="185">
          <cell r="B185" t="str">
            <v>fuu 陶器チモシーポッド【コーナー型】  カラー : ブルー</v>
          </cell>
          <cell r="C185">
            <v>4500</v>
          </cell>
        </row>
        <row r="186">
          <cell r="B186" t="str">
            <v>fuu 陶器のチモシーポッド  カラー : ピンク</v>
          </cell>
          <cell r="C186">
            <v>4370</v>
          </cell>
        </row>
        <row r="187">
          <cell r="B187" t="str">
            <v>fuu 陶器のチモシーポッド  カラー : ブルー</v>
          </cell>
          <cell r="C187">
            <v>4370</v>
          </cell>
        </row>
        <row r="188">
          <cell r="B188" t="str">
            <v>fuu 木製ステージ【L字】  サイズ : M</v>
          </cell>
          <cell r="C188">
            <v>2850</v>
          </cell>
        </row>
        <row r="189">
          <cell r="B189" t="str">
            <v>fuu 木製ステージ【L字】  サイズ : L</v>
          </cell>
          <cell r="C189">
            <v>3300</v>
          </cell>
        </row>
        <row r="190">
          <cell r="B190" t="str">
            <v>fuu 木製ステージ【半円】  サイズ : S</v>
          </cell>
          <cell r="C190">
            <v>1270</v>
          </cell>
        </row>
        <row r="191">
          <cell r="B191" t="str">
            <v>fuu 木製ステージ【半円】  サイズ : M</v>
          </cell>
          <cell r="C191">
            <v>1370</v>
          </cell>
        </row>
        <row r="192">
          <cell r="B192" t="str">
            <v xml:space="preserve">fuu【2ヶ月おき】omf フェレットのごはん mixプレミアム 【1560g】 </v>
          </cell>
          <cell r="C192">
            <v>4731</v>
          </cell>
        </row>
        <row r="193">
          <cell r="B193" t="str">
            <v xml:space="preserve">fuu【2ヶ月おき】omf フェレットのごはん mixプレミアム 【980g】 </v>
          </cell>
          <cell r="C193">
            <v>3401</v>
          </cell>
        </row>
        <row r="194">
          <cell r="B194" t="str">
            <v xml:space="preserve">fuu【2ヶ月おき】omf フェレットのごはん mixプレミアム 200g </v>
          </cell>
          <cell r="C194">
            <v>855</v>
          </cell>
        </row>
        <row r="195">
          <cell r="B195" t="str">
            <v xml:space="preserve">fuu【2ヶ月おき】omf フェレットのごはん mixプレミアム 800g </v>
          </cell>
          <cell r="C195">
            <v>2831</v>
          </cell>
        </row>
        <row r="196">
          <cell r="B196" t="str">
            <v xml:space="preserve">fuu【2ヶ月おき】うまうまセレクション Special mixチモシー【700ｇ】 </v>
          </cell>
          <cell r="C196">
            <v>2024</v>
          </cell>
        </row>
        <row r="197">
          <cell r="B197" t="str">
            <v xml:space="preserve">fuu【2ヶ月おき】うまうまセレクション うさぎのごはん【10kg】 </v>
          </cell>
          <cell r="C197">
            <v>7600</v>
          </cell>
        </row>
        <row r="198">
          <cell r="B198" t="str">
            <v xml:space="preserve">fuu【2ヶ月おき】うまうまセレクション うさぎのごはん【245g】 </v>
          </cell>
          <cell r="C198">
            <v>570</v>
          </cell>
        </row>
        <row r="199">
          <cell r="B199" t="str">
            <v xml:space="preserve">fuu【2ヶ月おき】うまうまセレクション うさぎのごはん【3kg】 </v>
          </cell>
          <cell r="C199">
            <v>2660</v>
          </cell>
        </row>
        <row r="200">
          <cell r="B200" t="str">
            <v xml:space="preserve">fuu【2ヶ月おき】うまうまセレクション うさぎのごはん【5kg】 </v>
          </cell>
          <cell r="C200">
            <v>4275</v>
          </cell>
        </row>
        <row r="201">
          <cell r="B201" t="str">
            <v xml:space="preserve">fuu【2ヶ月おき】うまうまセレクション うさぎのごはん【960g】 </v>
          </cell>
          <cell r="C201">
            <v>1140</v>
          </cell>
        </row>
        <row r="202">
          <cell r="B202" t="str">
            <v xml:space="preserve">fuu【2ヶ月おき】うまうまセレクション オーガニックミルワームのごはん 【125g】 </v>
          </cell>
          <cell r="C202">
            <v>456</v>
          </cell>
        </row>
        <row r="203">
          <cell r="B203" t="str">
            <v xml:space="preserve">fuu【2ヶ月おき】うまうまセレクション オーガニックミルワームのごはん 【380g】 </v>
          </cell>
          <cell r="C203">
            <v>694</v>
          </cell>
        </row>
        <row r="204">
          <cell r="B204" t="str">
            <v xml:space="preserve">fuu【2ヶ月おき】うまうまセレクション オーガニックミルワームのごはん 【960g】 </v>
          </cell>
          <cell r="C204">
            <v>1121</v>
          </cell>
        </row>
        <row r="205">
          <cell r="B205" t="str">
            <v xml:space="preserve">fuu【2ヶ月おき】うまうまセレクション コオロギのごはん【140g】 </v>
          </cell>
          <cell r="C205">
            <v>694</v>
          </cell>
        </row>
        <row r="206">
          <cell r="B206" t="str">
            <v xml:space="preserve">fuu【2ヶ月おき】うまうまセレクション コオロギのごはん【45g】 </v>
          </cell>
          <cell r="C206">
            <v>456</v>
          </cell>
        </row>
        <row r="207">
          <cell r="B207" t="str">
            <v xml:space="preserve">fuu【2ヶ月おき】うまうまセレクション コオロギのごはん【480g】 </v>
          </cell>
          <cell r="C207">
            <v>1454</v>
          </cell>
        </row>
        <row r="208">
          <cell r="B208" t="str">
            <v xml:space="preserve">fuu【2ヶ月おき】うまうまセレクション コオロギのごはん【960g】 </v>
          </cell>
          <cell r="C208">
            <v>2356</v>
          </cell>
        </row>
        <row r="209">
          <cell r="B209" t="str">
            <v xml:space="preserve">fuu【2ヶ月おき】うまうまセレクション ジャービルのごはん【210g】 </v>
          </cell>
          <cell r="C209">
            <v>665</v>
          </cell>
        </row>
        <row r="210">
          <cell r="B210" t="str">
            <v xml:space="preserve">fuu【2ヶ月おき】うまうまセレクション ジャービルのごはん【820g】 </v>
          </cell>
          <cell r="C210">
            <v>1330</v>
          </cell>
        </row>
        <row r="211">
          <cell r="B211" t="str">
            <v xml:space="preserve">fuu【2ヶ月おき】うまうまセレクション ジリスのごはん【10kg】 </v>
          </cell>
          <cell r="C211">
            <v>7600</v>
          </cell>
        </row>
        <row r="212">
          <cell r="B212" t="str">
            <v xml:space="preserve">fuu【2ヶ月おき】うまうまセレクション ジリスのごはん【245g】 </v>
          </cell>
          <cell r="C212">
            <v>570</v>
          </cell>
        </row>
        <row r="213">
          <cell r="B213" t="str">
            <v xml:space="preserve">fuu【2ヶ月おき】うまうまセレクション ジリスのごはん【3kg】 </v>
          </cell>
          <cell r="C213">
            <v>2660</v>
          </cell>
        </row>
        <row r="214">
          <cell r="B214" t="str">
            <v xml:space="preserve">fuu【2ヶ月おき】うまうまセレクション ジリスのごはん【5kg】 </v>
          </cell>
          <cell r="C214">
            <v>4275</v>
          </cell>
        </row>
        <row r="215">
          <cell r="B215" t="str">
            <v xml:space="preserve">fuu【2ヶ月おき】うまうまセレクション ジリスのごはん【960g】 </v>
          </cell>
          <cell r="C215">
            <v>1140</v>
          </cell>
        </row>
        <row r="216">
          <cell r="B216" t="str">
            <v xml:space="preserve">fuu【2ヶ月おき】うまうまセレクション ジリスのごはんプラス【210g】 </v>
          </cell>
          <cell r="C216">
            <v>656</v>
          </cell>
        </row>
        <row r="217">
          <cell r="B217" t="str">
            <v xml:space="preserve">fuu【2ヶ月おき】うまうまセレクション ジリスのごはんプラス【820g】 </v>
          </cell>
          <cell r="C217">
            <v>1330</v>
          </cell>
        </row>
        <row r="218">
          <cell r="B218" t="str">
            <v xml:space="preserve">fuu【2ヶ月おき】うまうまセレクション ステップレミングのごはんset【315g】 </v>
          </cell>
          <cell r="C218">
            <v>532</v>
          </cell>
        </row>
        <row r="219">
          <cell r="B219" t="str">
            <v xml:space="preserve">fuu【2ヶ月おき】うまうまセレクション ステップレミングのごはんset【830g】 </v>
          </cell>
          <cell r="C219">
            <v>1064</v>
          </cell>
        </row>
        <row r="220">
          <cell r="B220" t="str">
            <v xml:space="preserve">fuu【2ヶ月おき】うまうまセレクション チンチラ・デグーのごはん【10kg】 </v>
          </cell>
          <cell r="C220">
            <v>7600</v>
          </cell>
        </row>
        <row r="221">
          <cell r="B221" t="str">
            <v xml:space="preserve">fuu【2ヶ月おき】うまうまセレクション チンチラ・デグーのごはん【10kg】 </v>
          </cell>
          <cell r="C221">
            <v>6650</v>
          </cell>
        </row>
        <row r="222">
          <cell r="B222" t="str">
            <v xml:space="preserve">fuu【2ヶ月おき】うまうまセレクション チンチラ・デグーのごはん【3kg】 </v>
          </cell>
          <cell r="C222">
            <v>2660</v>
          </cell>
        </row>
        <row r="223">
          <cell r="B223" t="str">
            <v xml:space="preserve">fuu【2ヶ月おき】うまうまセレクション チンチラ・デグーのごはん【3kg】 </v>
          </cell>
          <cell r="C223">
            <v>2375</v>
          </cell>
        </row>
        <row r="224">
          <cell r="B224" t="str">
            <v xml:space="preserve">fuu【2ヶ月おき】うまうまセレクション チンチラ・デグーのごはん【5kg】 </v>
          </cell>
          <cell r="C224">
            <v>4275</v>
          </cell>
        </row>
        <row r="225">
          <cell r="B225" t="str">
            <v xml:space="preserve">fuu【2ヶ月おき】うまうまセレクション チンチラ・デグーのごはん【5kg】 </v>
          </cell>
          <cell r="C225">
            <v>3800</v>
          </cell>
        </row>
        <row r="226">
          <cell r="B226" t="str">
            <v xml:space="preserve">fuu【2ヶ月おき】うまうまセレクション デュビアのごはん【140g】 </v>
          </cell>
          <cell r="C226">
            <v>694</v>
          </cell>
        </row>
        <row r="227">
          <cell r="B227" t="str">
            <v xml:space="preserve">fuu【2ヶ月おき】うまうまセレクション デュビアのごはん【45g】 </v>
          </cell>
          <cell r="C227">
            <v>456</v>
          </cell>
        </row>
        <row r="228">
          <cell r="B228" t="str">
            <v xml:space="preserve">fuu【2ヶ月おき】うまうまセレクション デュビアのごはん【480g】 </v>
          </cell>
          <cell r="C228">
            <v>1454</v>
          </cell>
        </row>
        <row r="229">
          <cell r="B229" t="str">
            <v xml:space="preserve">fuu【2ヶ月おき】うまうまセレクション デュビアのごはん【960g】 </v>
          </cell>
          <cell r="C229">
            <v>2356</v>
          </cell>
        </row>
        <row r="230">
          <cell r="B230" t="str">
            <v xml:space="preserve">fuu【2ヶ月おき】うまうまセレクション ハリネズミのごはん 【200g】 </v>
          </cell>
          <cell r="C230">
            <v>760</v>
          </cell>
        </row>
        <row r="231">
          <cell r="B231" t="str">
            <v xml:space="preserve">fuu【2ヶ月おき】うまうまセレクション ハリネズミのごはん【700g】 </v>
          </cell>
          <cell r="C231">
            <v>1568</v>
          </cell>
        </row>
        <row r="232">
          <cell r="B232" t="str">
            <v xml:space="preserve">fuu【2ヶ月おき】うまうまセレクション フェレットのごはんmixプレミアム【1400g】 </v>
          </cell>
          <cell r="C232">
            <v>3591</v>
          </cell>
        </row>
        <row r="233">
          <cell r="B233" t="str">
            <v xml:space="preserve">fuu【2ヶ月おき】うまうまセレクション フェレットのごはんmixプレミアム【820g】 </v>
          </cell>
          <cell r="C233">
            <v>2641</v>
          </cell>
        </row>
        <row r="234">
          <cell r="B234" t="str">
            <v xml:space="preserve">fuu【2ヶ月おき】うまうまセレクション ミーアキャットのごはんmix【800g】 </v>
          </cell>
          <cell r="C234">
            <v>2090</v>
          </cell>
        </row>
        <row r="235">
          <cell r="B235" t="str">
            <v xml:space="preserve">fuu【2ヶ月おき】うまうまセレクション モモンガのごはん【175g】 </v>
          </cell>
          <cell r="C235">
            <v>1273</v>
          </cell>
        </row>
        <row r="236">
          <cell r="B236" t="str">
            <v xml:space="preserve">fuu【2ヶ月おき】うまうまセレクション モモンガのごはん【640g】 </v>
          </cell>
          <cell r="C236">
            <v>3069</v>
          </cell>
        </row>
        <row r="237">
          <cell r="B237" t="str">
            <v xml:space="preserve">fuu【2ヶ月おき】うまうまセレクション モルモットのごはん 【245g】 </v>
          </cell>
          <cell r="C237">
            <v>570</v>
          </cell>
        </row>
        <row r="238">
          <cell r="B238" t="str">
            <v xml:space="preserve">fuu【2ヶ月おき】うまうまセレクション モルモットのごはん 【960g】 </v>
          </cell>
          <cell r="C238">
            <v>1140</v>
          </cell>
        </row>
        <row r="239">
          <cell r="B239" t="str">
            <v xml:space="preserve">fuu【2ヶ月おき】うまうまセレクション モルモットのごはん【10kg】 </v>
          </cell>
          <cell r="C239">
            <v>7600</v>
          </cell>
        </row>
        <row r="240">
          <cell r="B240" t="str">
            <v xml:space="preserve">fuu【2ヶ月おき】うまうまセレクション モルモットのごはん【3kg】 </v>
          </cell>
          <cell r="C240">
            <v>2660</v>
          </cell>
        </row>
        <row r="241">
          <cell r="B241" t="str">
            <v xml:space="preserve">fuu【2ヶ月おき】うまうまセレクション モルモットのごはん【5kg】 </v>
          </cell>
          <cell r="C241">
            <v>4275</v>
          </cell>
        </row>
        <row r="242">
          <cell r="B242" t="str">
            <v xml:space="preserve">fuu【2ヶ月おき】うまうまセレクション モルモットのブレンドごはん野菜plus 【210g】 </v>
          </cell>
          <cell r="C242">
            <v>646</v>
          </cell>
        </row>
        <row r="243">
          <cell r="B243" t="str">
            <v xml:space="preserve">fuu【2ヶ月おき】うまうまセレクション モルモットのブレンドごはん野菜plus 【3kg】 </v>
          </cell>
          <cell r="C243">
            <v>3800</v>
          </cell>
        </row>
        <row r="244">
          <cell r="B244" t="str">
            <v xml:space="preserve">fuu【2ヶ月おき】うまうまセレクション モルモットのブレンドごはん野菜plus 【820g】 </v>
          </cell>
          <cell r="C244">
            <v>1292</v>
          </cell>
        </row>
        <row r="245">
          <cell r="B245" t="str">
            <v xml:space="preserve">fuu【2ヶ月おき】うまうまセレクション リスハムミックスプラス【10kg】 </v>
          </cell>
          <cell r="C245">
            <v>7600</v>
          </cell>
        </row>
        <row r="246">
          <cell r="B246" t="str">
            <v xml:space="preserve">fuu【2ヶ月おき】うまうまセレクション リスハムミックスプラス【215g】 </v>
          </cell>
          <cell r="C246">
            <v>570</v>
          </cell>
        </row>
        <row r="247">
          <cell r="B247" t="str">
            <v xml:space="preserve">fuu【2ヶ月おき】うまうまセレクション リスハムミックスプラス【3kg】 </v>
          </cell>
          <cell r="C247">
            <v>2660</v>
          </cell>
        </row>
        <row r="248">
          <cell r="B248" t="str">
            <v xml:space="preserve">fuu【2ヶ月おき】うまうまセレクション リスハムミックスプラス【5kg】 </v>
          </cell>
          <cell r="C248">
            <v>4275</v>
          </cell>
        </row>
        <row r="249">
          <cell r="B249" t="str">
            <v xml:space="preserve">fuu【2ヶ月おき】オカメインコのごはん【10kg】 </v>
          </cell>
          <cell r="C249">
            <v>7942</v>
          </cell>
        </row>
        <row r="250">
          <cell r="B250" t="str">
            <v xml:space="preserve">fuu【2ヶ月おき】オカメインコのごはん【150g】 </v>
          </cell>
          <cell r="C250">
            <v>466</v>
          </cell>
        </row>
        <row r="251">
          <cell r="B251" t="str">
            <v xml:space="preserve">fuu【2ヶ月おき】オカメインコのごはん【3kg】 </v>
          </cell>
          <cell r="C251">
            <v>2812</v>
          </cell>
        </row>
        <row r="252">
          <cell r="B252" t="str">
            <v xml:space="preserve">fuu【2ヶ月おき】オカメインコのごはん【400g】 </v>
          </cell>
          <cell r="C252">
            <v>521</v>
          </cell>
        </row>
        <row r="253">
          <cell r="B253" t="str">
            <v xml:space="preserve">fuu【2ヶ月おき】オカメインコのごはん【5kg】 </v>
          </cell>
          <cell r="C253">
            <v>4342</v>
          </cell>
        </row>
        <row r="254">
          <cell r="B254" t="str">
            <v xml:space="preserve">fuu【2ヶ月おき】オカメインコのごはん【800g】 </v>
          </cell>
          <cell r="C254">
            <v>941</v>
          </cell>
        </row>
        <row r="255">
          <cell r="B255" t="str">
            <v xml:space="preserve">fuu【2ヶ月おき】オカメインコのごはん【800g】 </v>
          </cell>
          <cell r="C255">
            <v>758</v>
          </cell>
        </row>
        <row r="256">
          <cell r="B256" t="str">
            <v xml:space="preserve">fuu【2ヶ月おき】シロハラインコ・ウロコインコのごはん【10kg】 </v>
          </cell>
          <cell r="C256">
            <v>7942</v>
          </cell>
        </row>
        <row r="257">
          <cell r="B257" t="str">
            <v xml:space="preserve">fuu【2ヶ月おき】シロハラインコ・ウロコインコのごはん【150g】 </v>
          </cell>
          <cell r="C257">
            <v>466</v>
          </cell>
        </row>
        <row r="258">
          <cell r="B258" t="str">
            <v xml:space="preserve">fuu【2ヶ月おき】シロハラインコ・ウロコインコのごはん【3kg】 </v>
          </cell>
          <cell r="C258">
            <v>2812</v>
          </cell>
        </row>
        <row r="259">
          <cell r="B259" t="str">
            <v xml:space="preserve">fuu【2ヶ月おき】シロハラインコ・ウロコインコのごはん【400g】 </v>
          </cell>
          <cell r="C259">
            <v>521</v>
          </cell>
        </row>
        <row r="260">
          <cell r="B260" t="str">
            <v xml:space="preserve">fuu【2ヶ月おき】シロハラインコ・ウロコインコのごはん【5kg】 </v>
          </cell>
          <cell r="C260">
            <v>4342</v>
          </cell>
        </row>
        <row r="261">
          <cell r="B261" t="str">
            <v xml:space="preserve">fuu【2ヶ月おき】シロハラインコ・ウロコインコのごはん【800g】 </v>
          </cell>
          <cell r="C261">
            <v>941</v>
          </cell>
        </row>
        <row r="262">
          <cell r="B262" t="str">
            <v xml:space="preserve">fuu【2ヶ月おき】シロハラインコ・ウロコインコのごはん【800g】 </v>
          </cell>
          <cell r="C262">
            <v>854</v>
          </cell>
        </row>
        <row r="263">
          <cell r="B263" t="str">
            <v xml:space="preserve">fuu【2ヶ月おき】チモシー1番刈り【1kg】 </v>
          </cell>
          <cell r="C263">
            <v>1444</v>
          </cell>
        </row>
        <row r="264">
          <cell r="B264" t="str">
            <v xml:space="preserve">fuu【2ヶ月おき】チモシー1番刈り【2.5kg】 </v>
          </cell>
          <cell r="C264">
            <v>2403</v>
          </cell>
        </row>
        <row r="265">
          <cell r="B265" t="str">
            <v xml:space="preserve">fuu【2ヶ月おき】チモシー1番刈り【3kg】 </v>
          </cell>
          <cell r="C265">
            <v>2783</v>
          </cell>
        </row>
        <row r="266">
          <cell r="B266" t="str">
            <v xml:space="preserve">fuu【2ヶ月おき】チモシー1番刈り【3kg】 </v>
          </cell>
          <cell r="C266">
            <v>2783</v>
          </cell>
        </row>
        <row r="267">
          <cell r="B267" t="str">
            <v xml:space="preserve">fuu【2ヶ月おき】チモシー1番刈り【6kg】 </v>
          </cell>
          <cell r="C267">
            <v>4550</v>
          </cell>
        </row>
        <row r="268">
          <cell r="B268" t="str">
            <v xml:space="preserve">fuu【2ヶ月おき】チモシー1番刈り【9kg】 </v>
          </cell>
          <cell r="C268">
            <v>6346</v>
          </cell>
        </row>
        <row r="269">
          <cell r="B269" t="str">
            <v xml:space="preserve">fuu【2ヶ月おき】チンチラ・デグーのごはん【960g】 </v>
          </cell>
          <cell r="C269">
            <v>1140</v>
          </cell>
        </row>
        <row r="270">
          <cell r="B270" t="str">
            <v xml:space="preserve">fuu【2ヶ月おき】チンチラ・デグーのごはん【960g】 </v>
          </cell>
          <cell r="C270">
            <v>1045</v>
          </cell>
        </row>
        <row r="271">
          <cell r="B271" t="str">
            <v xml:space="preserve">fuu【2ヶ月おき】チンチラ・デグーのごはん【960g】 </v>
          </cell>
          <cell r="C271">
            <v>950</v>
          </cell>
        </row>
        <row r="272">
          <cell r="B272" t="str">
            <v xml:space="preserve">fuu【2ヶ月おき】フェレットのごはん【980g】 </v>
          </cell>
          <cell r="C272">
            <v>2651</v>
          </cell>
        </row>
        <row r="273">
          <cell r="B273" t="str">
            <v xml:space="preserve">fuu【2ヶ月おき】マウスのごはん【240g】 </v>
          </cell>
          <cell r="C273">
            <v>580</v>
          </cell>
        </row>
        <row r="274">
          <cell r="B274" t="str">
            <v xml:space="preserve">fuu【2ヶ月おき】マウスのごはん【920g】 </v>
          </cell>
          <cell r="C274">
            <v>1159</v>
          </cell>
        </row>
        <row r="275">
          <cell r="B275" t="str">
            <v xml:space="preserve">fuu【2ヶ月おき】ミーアキャットのごはん【490g】 </v>
          </cell>
          <cell r="C275">
            <v>1112</v>
          </cell>
        </row>
        <row r="276">
          <cell r="B276" t="str">
            <v xml:space="preserve">fuu【2ヶ月おき】ミーアキャットのごはんset </v>
          </cell>
          <cell r="C276">
            <v>1796</v>
          </cell>
        </row>
        <row r="277">
          <cell r="B277" t="str">
            <v xml:space="preserve">fuu【2ヶ月おき】ミーアキャットのごはんプラス【980g】 </v>
          </cell>
          <cell r="C277">
            <v>2651</v>
          </cell>
        </row>
        <row r="278">
          <cell r="B278" t="str">
            <v xml:space="preserve">fuu【2ヶ月おき】ラブバードのごはん【10kg】 </v>
          </cell>
          <cell r="C278">
            <v>7942</v>
          </cell>
        </row>
        <row r="279">
          <cell r="B279" t="str">
            <v xml:space="preserve">fuu【2ヶ月おき】ラブバードのごはん【150g】 </v>
          </cell>
          <cell r="C279">
            <v>466</v>
          </cell>
        </row>
        <row r="280">
          <cell r="B280" t="str">
            <v xml:space="preserve">fuu【2ヶ月おき】ラブバードのごはん【3kg】 </v>
          </cell>
          <cell r="C280">
            <v>2812</v>
          </cell>
        </row>
        <row r="281">
          <cell r="B281" t="str">
            <v xml:space="preserve">fuu【2ヶ月おき】ラブバードのごはん【400g】 </v>
          </cell>
          <cell r="C281">
            <v>521</v>
          </cell>
        </row>
        <row r="282">
          <cell r="B282" t="str">
            <v xml:space="preserve">fuu【2ヶ月おき】ラブバードのごはん【5kg】 </v>
          </cell>
          <cell r="C282">
            <v>4342</v>
          </cell>
        </row>
        <row r="283">
          <cell r="B283" t="str">
            <v xml:space="preserve">fuu【2ヶ月おき】ラブバードのごはん【800g】 </v>
          </cell>
          <cell r="C283">
            <v>941</v>
          </cell>
        </row>
        <row r="284">
          <cell r="B284" t="str">
            <v xml:space="preserve">fuu【2ヶ月おき】ラブバードのごはん【800g】 </v>
          </cell>
          <cell r="C284">
            <v>854</v>
          </cell>
        </row>
        <row r="285">
          <cell r="B285" t="str">
            <v xml:space="preserve">fuu【2ヶ月おき】リスハムミックスプラス【880g】 </v>
          </cell>
          <cell r="C285">
            <v>1140</v>
          </cell>
        </row>
        <row r="286">
          <cell r="B286" t="str">
            <v xml:space="preserve">fuu【2ヶ月おき】文鳥・セキセイインコのごはん【10kg】 </v>
          </cell>
          <cell r="C286">
            <v>7942</v>
          </cell>
        </row>
        <row r="287">
          <cell r="B287" t="str">
            <v xml:space="preserve">fuu【2ヶ月おき】文鳥・セキセイインコのごはん【150g】 </v>
          </cell>
          <cell r="C287">
            <v>466</v>
          </cell>
        </row>
        <row r="288">
          <cell r="B288" t="str">
            <v xml:space="preserve">fuu【2ヶ月おき】文鳥・セキセイインコのごはん【3kg】 </v>
          </cell>
          <cell r="C288">
            <v>2812</v>
          </cell>
        </row>
        <row r="289">
          <cell r="B289" t="str">
            <v xml:space="preserve">fuu【2ヶ月おき】文鳥・セキセイインコのごはん【400g】 </v>
          </cell>
          <cell r="C289">
            <v>521</v>
          </cell>
        </row>
        <row r="290">
          <cell r="B290" t="str">
            <v xml:space="preserve">fuu【2ヶ月おき】文鳥・セキセイインコのごはん【5kg】 </v>
          </cell>
          <cell r="C290">
            <v>4342</v>
          </cell>
        </row>
        <row r="291">
          <cell r="B291" t="str">
            <v xml:space="preserve">fuu【2ヶ月おき】文鳥・セキセイインコのごはん【800g】 </v>
          </cell>
          <cell r="C291">
            <v>941</v>
          </cell>
        </row>
        <row r="292">
          <cell r="B292" t="str">
            <v xml:space="preserve">fuu【2ヶ月おき】文鳥・セキセイインコのごはん【800g】 </v>
          </cell>
          <cell r="C292">
            <v>854</v>
          </cell>
        </row>
        <row r="293">
          <cell r="B293" t="str">
            <v xml:space="preserve">fuu【毎月】omf フェレットのごはん mixプレミアム 【1560g】 </v>
          </cell>
          <cell r="C293">
            <v>4482</v>
          </cell>
        </row>
        <row r="294">
          <cell r="B294" t="str">
            <v xml:space="preserve">fuu【毎月】omf フェレットのごはん mixプレミアム 【980g】 </v>
          </cell>
          <cell r="C294">
            <v>3222</v>
          </cell>
        </row>
        <row r="295">
          <cell r="B295" t="str">
            <v xml:space="preserve">fuu【毎月】omf フェレットのごはん mixプレミアム 200g </v>
          </cell>
          <cell r="C295">
            <v>810</v>
          </cell>
        </row>
        <row r="296">
          <cell r="B296" t="str">
            <v xml:space="preserve">fuu【毎月】omf フェレットのごはん mixプレミアム 800g </v>
          </cell>
          <cell r="C296">
            <v>2682</v>
          </cell>
        </row>
        <row r="297">
          <cell r="B297" t="str">
            <v xml:space="preserve">fuu【毎月】うまうまセレクション Special mixチモシー【700ｇ】 </v>
          </cell>
          <cell r="C297">
            <v>1917</v>
          </cell>
        </row>
        <row r="298">
          <cell r="B298" t="str">
            <v xml:space="preserve">fuu【毎月】うまうまセレクション うさぎのごはん【10kg】 </v>
          </cell>
          <cell r="C298">
            <v>7200</v>
          </cell>
        </row>
        <row r="299">
          <cell r="B299" t="str">
            <v xml:space="preserve">fuu【毎月】うまうまセレクション うさぎのごはん【245g】 </v>
          </cell>
          <cell r="C299">
            <v>540</v>
          </cell>
        </row>
        <row r="300">
          <cell r="B300" t="str">
            <v xml:space="preserve">fuu【毎月】うまうまセレクション うさぎのごはん【3kg】 </v>
          </cell>
          <cell r="C300">
            <v>2520</v>
          </cell>
        </row>
        <row r="301">
          <cell r="B301" t="str">
            <v xml:space="preserve">fuu【毎月】うまうまセレクション うさぎのごはん【5kg】 </v>
          </cell>
          <cell r="C301">
            <v>4050</v>
          </cell>
        </row>
        <row r="302">
          <cell r="B302" t="str">
            <v xml:space="preserve">fuu【毎月】うまうまセレクション うさぎのごはん【960g】 </v>
          </cell>
          <cell r="C302">
            <v>1080</v>
          </cell>
        </row>
        <row r="303">
          <cell r="B303" t="str">
            <v xml:space="preserve">fuu【毎月】うまうまセレクション オーガニックミルワームのごはん 【125g】 </v>
          </cell>
          <cell r="C303">
            <v>432</v>
          </cell>
        </row>
        <row r="304">
          <cell r="B304" t="str">
            <v xml:space="preserve">fuu【毎月】うまうまセレクション オーガニックミルワームのごはん 【380g】 </v>
          </cell>
          <cell r="C304">
            <v>657</v>
          </cell>
        </row>
        <row r="305">
          <cell r="B305" t="str">
            <v xml:space="preserve">fuu【毎月】うまうまセレクション オーガニックミルワームのごはん 【960g】 </v>
          </cell>
          <cell r="C305">
            <v>1062</v>
          </cell>
        </row>
        <row r="306">
          <cell r="B306" t="str">
            <v xml:space="preserve">fuu【毎月】うまうまセレクション コオロギのごはん【140g】 </v>
          </cell>
          <cell r="C306">
            <v>657</v>
          </cell>
        </row>
        <row r="307">
          <cell r="B307" t="str">
            <v xml:space="preserve">fuu【毎月】うまうまセレクション コオロギのごはん【45g】 </v>
          </cell>
          <cell r="C307">
            <v>432</v>
          </cell>
        </row>
        <row r="308">
          <cell r="B308" t="str">
            <v xml:space="preserve">fuu【毎月】うまうまセレクション コオロギのごはん【480g】 </v>
          </cell>
          <cell r="C308">
            <v>1377</v>
          </cell>
        </row>
        <row r="309">
          <cell r="B309" t="str">
            <v xml:space="preserve">fuu【毎月】うまうまセレクション コオロギのごはん【960g】 </v>
          </cell>
          <cell r="C309">
            <v>2232</v>
          </cell>
        </row>
        <row r="310">
          <cell r="B310" t="str">
            <v xml:space="preserve">fuu【毎月】うまうまセレクション ジャービルのごはん【210g】 </v>
          </cell>
          <cell r="C310">
            <v>630</v>
          </cell>
        </row>
        <row r="311">
          <cell r="B311" t="str">
            <v xml:space="preserve">fuu【毎月】うまうまセレクション ジャービルのごはん【820g】 </v>
          </cell>
          <cell r="C311">
            <v>1260</v>
          </cell>
        </row>
        <row r="312">
          <cell r="B312" t="str">
            <v xml:space="preserve">fuu【毎月】うまうまセレクション ジリスのごはん【10kg】 </v>
          </cell>
          <cell r="C312">
            <v>7200</v>
          </cell>
        </row>
        <row r="313">
          <cell r="B313" t="str">
            <v xml:space="preserve">fuu【毎月】うまうまセレクション ジリスのごはん【245g】 </v>
          </cell>
          <cell r="C313">
            <v>540</v>
          </cell>
        </row>
        <row r="314">
          <cell r="B314" t="str">
            <v xml:space="preserve">fuu【毎月】うまうまセレクション ジリスのごはん【3kg】 </v>
          </cell>
          <cell r="C314">
            <v>2520</v>
          </cell>
        </row>
        <row r="315">
          <cell r="B315" t="str">
            <v xml:space="preserve">fuu【毎月】うまうまセレクション ジリスのごはん【5kg】 </v>
          </cell>
          <cell r="C315">
            <v>4050</v>
          </cell>
        </row>
        <row r="316">
          <cell r="B316" t="str">
            <v xml:space="preserve">fuu【毎月】うまうまセレクション ジリスのごはん【960g】 </v>
          </cell>
          <cell r="C316">
            <v>1080</v>
          </cell>
        </row>
        <row r="317">
          <cell r="B317" t="str">
            <v xml:space="preserve">fuu【毎月】うまうまセレクション ジリスのごはんプラス【210g】 </v>
          </cell>
          <cell r="C317">
            <v>621</v>
          </cell>
        </row>
        <row r="318">
          <cell r="B318" t="str">
            <v xml:space="preserve">fuu【毎月】うまうまセレクション ジリスのごはんプラス【820g】 </v>
          </cell>
          <cell r="C318">
            <v>1260</v>
          </cell>
        </row>
        <row r="319">
          <cell r="B319" t="str">
            <v xml:space="preserve">fuu【毎月】うまうまセレクション ステップレミングのごはんset【315g】 </v>
          </cell>
          <cell r="C319">
            <v>504</v>
          </cell>
        </row>
        <row r="320">
          <cell r="B320" t="str">
            <v xml:space="preserve">fuu【毎月】うまうまセレクション ステップレミングのごはんset【830g】 </v>
          </cell>
          <cell r="C320">
            <v>1008</v>
          </cell>
        </row>
        <row r="321">
          <cell r="B321" t="str">
            <v xml:space="preserve">fuu【毎月】うまうまセレクション チンチラ・デグーのごはん【10kg】 </v>
          </cell>
          <cell r="C321">
            <v>7200</v>
          </cell>
        </row>
        <row r="322">
          <cell r="B322" t="str">
            <v xml:space="preserve">fuu【毎月】うまうまセレクション チンチラ・デグーのごはん【10kg】 </v>
          </cell>
          <cell r="C322">
            <v>6300</v>
          </cell>
        </row>
        <row r="323">
          <cell r="B323" t="str">
            <v xml:space="preserve">fuu【毎月】うまうまセレクション チンチラ・デグーのごはん【3kg】 </v>
          </cell>
          <cell r="C323">
            <v>2520</v>
          </cell>
        </row>
        <row r="324">
          <cell r="B324" t="str">
            <v xml:space="preserve">fuu【毎月】うまうまセレクション チンチラ・デグーのごはん【3kg】 </v>
          </cell>
          <cell r="C324">
            <v>2250</v>
          </cell>
        </row>
        <row r="325">
          <cell r="B325" t="str">
            <v xml:space="preserve">fuu【毎月】うまうまセレクション チンチラ・デグーのごはん【5kg】 </v>
          </cell>
          <cell r="C325">
            <v>4050</v>
          </cell>
        </row>
        <row r="326">
          <cell r="B326" t="str">
            <v xml:space="preserve">fuu【毎月】うまうまセレクション チンチラ・デグーのごはん【5kg】 </v>
          </cell>
          <cell r="C326">
            <v>3600</v>
          </cell>
        </row>
        <row r="327">
          <cell r="B327" t="str">
            <v xml:space="preserve">fuu【毎月】うまうまセレクション チンチラ・デグーのごはん【960g】 </v>
          </cell>
          <cell r="C327">
            <v>1080</v>
          </cell>
        </row>
        <row r="328">
          <cell r="B328" t="str">
            <v xml:space="preserve">fuu【毎月】うまうまセレクション チンチラ・デグーのごはん【960g】 </v>
          </cell>
          <cell r="C328">
            <v>990</v>
          </cell>
        </row>
        <row r="329">
          <cell r="B329" t="str">
            <v xml:space="preserve">fuu【毎月】うまうまセレクション チンチラ・デグーのごはん【960g】 </v>
          </cell>
          <cell r="C329">
            <v>900</v>
          </cell>
        </row>
        <row r="330">
          <cell r="B330" t="str">
            <v xml:space="preserve">fuu【毎月】うまうまセレクション デュビアのごはん【140g】 </v>
          </cell>
          <cell r="C330">
            <v>657</v>
          </cell>
        </row>
        <row r="331">
          <cell r="B331" t="str">
            <v xml:space="preserve">fuu【毎月】うまうまセレクション デュビアのごはん【45g】 </v>
          </cell>
          <cell r="C331">
            <v>432</v>
          </cell>
        </row>
        <row r="332">
          <cell r="B332" t="str">
            <v xml:space="preserve">fuu【毎月】うまうまセレクション デュビアのごはん【480g】 </v>
          </cell>
          <cell r="C332">
            <v>1377</v>
          </cell>
        </row>
        <row r="333">
          <cell r="B333" t="str">
            <v xml:space="preserve">fuu【毎月】うまうまセレクション デュビアのごはん【960g】 </v>
          </cell>
          <cell r="C333">
            <v>2232</v>
          </cell>
        </row>
        <row r="334">
          <cell r="B334" t="str">
            <v xml:space="preserve">fuu【毎月】うまうまセレクション ハリネズミのごはん 【200g】 </v>
          </cell>
          <cell r="C334">
            <v>720</v>
          </cell>
        </row>
        <row r="335">
          <cell r="B335" t="str">
            <v xml:space="preserve">fuu【毎月】うまうまセレクション ハリネズミのごはん 【700g】 </v>
          </cell>
          <cell r="C335">
            <v>1485</v>
          </cell>
        </row>
        <row r="336">
          <cell r="B336" t="str">
            <v xml:space="preserve">fuu【毎月】うまうまセレクション フェレットのごはんmixプレミアム【1400g】 </v>
          </cell>
          <cell r="C336">
            <v>3402</v>
          </cell>
        </row>
        <row r="337">
          <cell r="B337" t="str">
            <v xml:space="preserve">fuu【毎月】うまうまセレクション フェレットのごはんmixプレミアム【820g】 </v>
          </cell>
          <cell r="C337">
            <v>2502</v>
          </cell>
        </row>
        <row r="338">
          <cell r="B338" t="str">
            <v xml:space="preserve">fuu【毎月】うまうまセレクション ミーアキャットのごはんmix【800g】 </v>
          </cell>
          <cell r="C338">
            <v>1980</v>
          </cell>
        </row>
        <row r="339">
          <cell r="B339" t="str">
            <v xml:space="preserve">fuu【毎月】うまうまセレクション モモンガのごはん【175g】 </v>
          </cell>
          <cell r="C339">
            <v>1206</v>
          </cell>
        </row>
        <row r="340">
          <cell r="B340" t="str">
            <v xml:space="preserve">fuu【毎月】うまうまセレクション モモンガのごはん【640g】 </v>
          </cell>
          <cell r="C340">
            <v>2907</v>
          </cell>
        </row>
        <row r="341">
          <cell r="B341" t="str">
            <v xml:space="preserve">fuu【毎月】うまうまセレクション モモンガのごはん【640g】 </v>
          </cell>
          <cell r="C341">
            <v>2682</v>
          </cell>
        </row>
        <row r="342">
          <cell r="B342" t="str">
            <v xml:space="preserve">fuu【毎月】うまうまセレクション モルモットのごはん 【960g】 </v>
          </cell>
          <cell r="C342">
            <v>1080</v>
          </cell>
        </row>
        <row r="343">
          <cell r="B343" t="str">
            <v xml:space="preserve">fuu【毎月】うまうまセレクション モルモットのごはん【10kg】 </v>
          </cell>
          <cell r="C343">
            <v>7200</v>
          </cell>
        </row>
        <row r="344">
          <cell r="B344" t="str">
            <v xml:space="preserve">fuu【毎月】うまうまセレクション モルモットのごはん【245g】 </v>
          </cell>
          <cell r="C344">
            <v>540</v>
          </cell>
        </row>
        <row r="345">
          <cell r="B345" t="str">
            <v xml:space="preserve">fuu【毎月】うまうまセレクション モルモットのごはん【3kg】 </v>
          </cell>
          <cell r="C345">
            <v>2520</v>
          </cell>
        </row>
        <row r="346">
          <cell r="B346" t="str">
            <v xml:space="preserve">fuu【毎月】うまうまセレクション モルモットのごはん【5kg】 </v>
          </cell>
          <cell r="C346">
            <v>4050</v>
          </cell>
        </row>
        <row r="347">
          <cell r="B347" t="str">
            <v xml:space="preserve">fuu【毎月】うまうまセレクション モルモットのブレンドごはん野菜plus 【210g】 </v>
          </cell>
          <cell r="C347">
            <v>612</v>
          </cell>
        </row>
        <row r="348">
          <cell r="B348" t="str">
            <v xml:space="preserve">fuu【毎月】うまうまセレクション モルモットのブレンドごはん野菜plus 【3kg】 </v>
          </cell>
          <cell r="C348">
            <v>3600</v>
          </cell>
        </row>
        <row r="349">
          <cell r="B349" t="str">
            <v xml:space="preserve">fuu【毎月】うまうまセレクション モルモットのブレンドごはん野菜plus 【820g】 </v>
          </cell>
          <cell r="C349">
            <v>1224</v>
          </cell>
        </row>
        <row r="350">
          <cell r="B350" t="str">
            <v xml:space="preserve">fuu【毎月】うまうまセレクション リスハムミックスプラス【10kg】 </v>
          </cell>
          <cell r="C350">
            <v>7200</v>
          </cell>
        </row>
        <row r="351">
          <cell r="B351" t="str">
            <v xml:space="preserve">fuu【毎月】うまうまセレクション リスハムミックスプラス【215g】 </v>
          </cell>
          <cell r="C351">
            <v>540</v>
          </cell>
        </row>
        <row r="352">
          <cell r="B352" t="str">
            <v xml:space="preserve">fuu【毎月】うまうまセレクション リスハムミックスプラス【3kg】 </v>
          </cell>
          <cell r="C352">
            <v>2520</v>
          </cell>
        </row>
        <row r="353">
          <cell r="B353" t="str">
            <v xml:space="preserve">fuu【毎月】うまうまセレクション リスハムミックスプラス【5kg】 </v>
          </cell>
          <cell r="C353">
            <v>4050</v>
          </cell>
        </row>
        <row r="354">
          <cell r="B354" t="str">
            <v xml:space="preserve">fuu【毎月】うまうまセレクション リスハムミックスプラス【880g】 </v>
          </cell>
          <cell r="C354">
            <v>1080</v>
          </cell>
        </row>
        <row r="355">
          <cell r="B355" t="str">
            <v xml:space="preserve">fuu【毎月】オカメインコのごはん【10kg】 </v>
          </cell>
          <cell r="C355">
            <v>7524</v>
          </cell>
        </row>
        <row r="356">
          <cell r="B356" t="str">
            <v xml:space="preserve">fuu【毎月】オカメインコのごはん【150g】 </v>
          </cell>
          <cell r="C356">
            <v>441</v>
          </cell>
        </row>
        <row r="357">
          <cell r="B357" t="str">
            <v xml:space="preserve">fuu【毎月】オカメインコのごはん【3kg】 </v>
          </cell>
          <cell r="C357">
            <v>2664</v>
          </cell>
        </row>
        <row r="358">
          <cell r="B358" t="str">
            <v xml:space="preserve">fuu【毎月】オカメインコのごはん【400g】 </v>
          </cell>
          <cell r="C358">
            <v>494</v>
          </cell>
        </row>
        <row r="359">
          <cell r="B359" t="str">
            <v xml:space="preserve">fuu【毎月】オカメインコのごはん【5kg】 </v>
          </cell>
          <cell r="C359">
            <v>4113</v>
          </cell>
        </row>
        <row r="360">
          <cell r="B360" t="str">
            <v xml:space="preserve">fuu【毎月】オカメインコのごはん【800g】 </v>
          </cell>
          <cell r="C360">
            <v>891</v>
          </cell>
        </row>
        <row r="361">
          <cell r="B361" t="str">
            <v xml:space="preserve">fuu【毎月】オカメインコのごはん【800g】 </v>
          </cell>
          <cell r="C361">
            <v>809</v>
          </cell>
        </row>
        <row r="362">
          <cell r="B362" t="str">
            <v xml:space="preserve">fuu【毎月】シロハラインコ・ウロコインコのごはん【10kg】 </v>
          </cell>
          <cell r="C362">
            <v>7524</v>
          </cell>
        </row>
        <row r="363">
          <cell r="B363" t="str">
            <v xml:space="preserve">fuu【毎月】シロハラインコ・ウロコインコのごはん【150g】 </v>
          </cell>
          <cell r="C363">
            <v>441</v>
          </cell>
        </row>
        <row r="364">
          <cell r="B364" t="str">
            <v xml:space="preserve">fuu【毎月】シロハラインコ・ウロコインコのごはん【3kg】 </v>
          </cell>
          <cell r="C364">
            <v>2664</v>
          </cell>
        </row>
        <row r="365">
          <cell r="B365" t="str">
            <v xml:space="preserve">fuu【毎月】シロハラインコ・ウロコインコのごはん【400g】 </v>
          </cell>
          <cell r="C365">
            <v>494</v>
          </cell>
        </row>
        <row r="366">
          <cell r="B366" t="str">
            <v xml:space="preserve">fuu【毎月】シロハラインコ・ウロコインコのごはん【5kg】 </v>
          </cell>
          <cell r="C366">
            <v>4113</v>
          </cell>
        </row>
        <row r="367">
          <cell r="B367" t="str">
            <v xml:space="preserve">fuu【毎月】シロハラインコ・ウロコインコのごはん【800g】 </v>
          </cell>
          <cell r="C367">
            <v>891</v>
          </cell>
        </row>
        <row r="368">
          <cell r="B368" t="str">
            <v xml:space="preserve">fuu【毎月】シロハラインコ・ウロコインコのごはん【800g】 </v>
          </cell>
          <cell r="C368">
            <v>809</v>
          </cell>
        </row>
        <row r="369">
          <cell r="B369" t="str">
            <v xml:space="preserve">fuu【毎月】チモシー1番刈り【1kg】 </v>
          </cell>
          <cell r="C369">
            <v>1368</v>
          </cell>
        </row>
        <row r="370">
          <cell r="B370" t="str">
            <v xml:space="preserve">fuu【毎月】チモシー1番刈り【2.5kg】 </v>
          </cell>
          <cell r="C370">
            <v>2277</v>
          </cell>
        </row>
        <row r="371">
          <cell r="B371" t="str">
            <v xml:space="preserve">fuu【毎月】チモシー1番刈り【3kg】 </v>
          </cell>
          <cell r="C371">
            <v>2637</v>
          </cell>
        </row>
        <row r="372">
          <cell r="B372" t="str">
            <v xml:space="preserve">fuu【毎月】チモシー1番刈り【6kg】 </v>
          </cell>
          <cell r="C372">
            <v>4311</v>
          </cell>
        </row>
        <row r="373">
          <cell r="B373" t="str">
            <v xml:space="preserve">fuu【毎月】チモシー1番刈り【9kg】 </v>
          </cell>
          <cell r="C373">
            <v>6012</v>
          </cell>
        </row>
        <row r="374">
          <cell r="B374" t="str">
            <v xml:space="preserve">fuu【毎月】フェレットのごはん【980g】 </v>
          </cell>
          <cell r="C374">
            <v>2511</v>
          </cell>
        </row>
        <row r="375">
          <cell r="B375" t="str">
            <v xml:space="preserve">fuu【毎月】マウスのごはん【240g】 </v>
          </cell>
          <cell r="C375">
            <v>549</v>
          </cell>
        </row>
        <row r="376">
          <cell r="B376" t="str">
            <v xml:space="preserve">fuu【毎月】マウスのごはん【920g】 </v>
          </cell>
          <cell r="C376">
            <v>1098</v>
          </cell>
        </row>
        <row r="377">
          <cell r="B377" t="str">
            <v xml:space="preserve">fuu【毎月】ミーアキャットのごはん【490g】 </v>
          </cell>
          <cell r="C377">
            <v>1053</v>
          </cell>
        </row>
        <row r="378">
          <cell r="B378" t="str">
            <v xml:space="preserve">fuu【毎月】ミーアキャットのごはんset </v>
          </cell>
          <cell r="C378">
            <v>1701</v>
          </cell>
        </row>
        <row r="379">
          <cell r="B379" t="str">
            <v xml:space="preserve">fuu【毎月】ミーアキャットのごはんプラス【980g】 </v>
          </cell>
          <cell r="C379">
            <v>2511</v>
          </cell>
        </row>
        <row r="380">
          <cell r="B380" t="str">
            <v xml:space="preserve">fuu【毎月】ラブバードのごはん【10kg】 </v>
          </cell>
          <cell r="C380">
            <v>7524</v>
          </cell>
        </row>
        <row r="381">
          <cell r="B381" t="str">
            <v xml:space="preserve">fuu【毎月】ラブバードのごはん【150g】 </v>
          </cell>
          <cell r="C381">
            <v>441</v>
          </cell>
        </row>
        <row r="382">
          <cell r="B382" t="str">
            <v xml:space="preserve">fuu【毎月】ラブバードのごはん【3kg】 </v>
          </cell>
          <cell r="C382">
            <v>2664</v>
          </cell>
        </row>
        <row r="383">
          <cell r="B383" t="str">
            <v xml:space="preserve">fuu【毎月】ラブバードのごはん【400g】 </v>
          </cell>
          <cell r="C383">
            <v>494</v>
          </cell>
        </row>
        <row r="384">
          <cell r="B384" t="str">
            <v xml:space="preserve">fuu【毎月】ラブバードのごはん【5kg】 </v>
          </cell>
          <cell r="C384">
            <v>4113</v>
          </cell>
        </row>
        <row r="385">
          <cell r="B385" t="str">
            <v xml:space="preserve">fuu【毎月】ラブバードのごはん【800g】 </v>
          </cell>
          <cell r="C385">
            <v>891</v>
          </cell>
        </row>
        <row r="386">
          <cell r="B386" t="str">
            <v xml:space="preserve">fuu【毎月】ラブバードのごはん【800g】 </v>
          </cell>
          <cell r="C386">
            <v>809</v>
          </cell>
        </row>
        <row r="387">
          <cell r="B387" t="str">
            <v xml:space="preserve">fuu【毎月】文鳥・セキセイインコのごはん【10kg】 </v>
          </cell>
          <cell r="C387">
            <v>7524</v>
          </cell>
        </row>
        <row r="388">
          <cell r="B388" t="str">
            <v xml:space="preserve">fuu【毎月】文鳥・セキセイインコのごはん【150g】 </v>
          </cell>
          <cell r="C388">
            <v>441</v>
          </cell>
        </row>
        <row r="389">
          <cell r="B389" t="str">
            <v xml:space="preserve">fuu【毎月】文鳥・セキセイインコのごはん【3kg】 </v>
          </cell>
          <cell r="C389">
            <v>2664</v>
          </cell>
        </row>
        <row r="390">
          <cell r="B390" t="str">
            <v xml:space="preserve">fuu【毎月】文鳥・セキセイインコのごはん【400g】 </v>
          </cell>
          <cell r="C390">
            <v>494</v>
          </cell>
        </row>
        <row r="391">
          <cell r="B391" t="str">
            <v xml:space="preserve">fuu【毎月】文鳥・セキセイインコのごはん【5kg】 </v>
          </cell>
          <cell r="C391">
            <v>4113</v>
          </cell>
        </row>
        <row r="392">
          <cell r="B392" t="str">
            <v xml:space="preserve">fuu【毎月】文鳥・セキセイインコのごはん【800g】 </v>
          </cell>
          <cell r="C392">
            <v>891</v>
          </cell>
        </row>
        <row r="393">
          <cell r="B393" t="str">
            <v xml:space="preserve">fuu【毎月】文鳥・セキセイインコのごはん【800g】 </v>
          </cell>
          <cell r="C393">
            <v>809</v>
          </cell>
        </row>
        <row r="394">
          <cell r="B394" t="str">
            <v xml:space="preserve">fuu Mazuri フェレットダイエットフード 2.26kg </v>
          </cell>
          <cell r="C394">
            <v>7470</v>
          </cell>
        </row>
        <row r="395">
          <cell r="B395" t="str">
            <v>fuu 小動物のかじり木・おやつ　SpecialアソートBOX  セット数 : 1個</v>
          </cell>
          <cell r="C395">
            <v>1380</v>
          </cell>
        </row>
        <row r="396">
          <cell r="B396" t="str">
            <v>fuu 小動物のかじり木・おやつ　SpecialアソートBOX  セット数 : 2個</v>
          </cell>
          <cell r="C396">
            <v>2280</v>
          </cell>
        </row>
        <row r="397">
          <cell r="B397" t="str">
            <v>fuu 小動物のかじり木・おやつ　SpecialアソートBOX mini  セット数 : 1個</v>
          </cell>
          <cell r="C397">
            <v>1080</v>
          </cell>
        </row>
        <row r="398">
          <cell r="B398" t="str">
            <v>fuu 小動物のかじり木・おやつ　SpecialアソートBOX mini  セット数 : 2個</v>
          </cell>
          <cell r="C398">
            <v>1780</v>
          </cell>
        </row>
        <row r="399">
          <cell r="B399" t="str">
            <v>fuu オリジナル　MIXチモシー  容量 : 700g</v>
          </cell>
          <cell r="C399">
            <v>2180</v>
          </cell>
        </row>
        <row r="400">
          <cell r="B400" t="str">
            <v>fuu オリジナル　MIXチモシー  容量 : 1kg</v>
          </cell>
          <cell r="C400">
            <v>2430</v>
          </cell>
        </row>
        <row r="401">
          <cell r="B401" t="str">
            <v>fuu オリジナル　MIXチモシー  容量 : 2kg</v>
          </cell>
          <cell r="C401">
            <v>3950</v>
          </cell>
        </row>
        <row r="402">
          <cell r="B402" t="str">
            <v>fuu オリジナル　MIXチモシー  容量 : 3kg</v>
          </cell>
          <cell r="C402">
            <v>5150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79B1-E5C5-4C24-9D7F-767BDD73D8BB}">
  <sheetPr codeName="Sheet2"/>
  <dimension ref="A1"/>
  <sheetViews>
    <sheetView workbookViewId="0">
      <selection activeCell="M16" sqref="M16"/>
    </sheetView>
  </sheetViews>
  <sheetFormatPr defaultRowHeight="18" x14ac:dyDescent="0.55000000000000004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実行1_ペライチ_発送方法自動判定">
                <anchor moveWithCells="1" sizeWithCells="1">
                  <from>
                    <xdr:col>0</xdr:col>
                    <xdr:colOff>450850</xdr:colOff>
                    <xdr:row>1</xdr:row>
                    <xdr:rowOff>146050</xdr:rowOff>
                  </from>
                  <to>
                    <xdr:col>4</xdr:col>
                    <xdr:colOff>317500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実行2_ペライチ_出荷CSV作成">
                <anchor moveWithCells="1" sizeWithCells="1">
                  <from>
                    <xdr:col>0</xdr:col>
                    <xdr:colOff>463550</xdr:colOff>
                    <xdr:row>6</xdr:row>
                    <xdr:rowOff>190500</xdr:rowOff>
                  </from>
                  <to>
                    <xdr:col>4</xdr:col>
                    <xdr:colOff>292100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実行3_ペライチ_配送情報CSV作成">
                <anchor moveWithCells="1" sizeWithCells="1">
                  <from>
                    <xdr:col>0</xdr:col>
                    <xdr:colOff>406400</xdr:colOff>
                    <xdr:row>12</xdr:row>
                    <xdr:rowOff>0</xdr:rowOff>
                  </from>
                  <to>
                    <xdr:col>4</xdr:col>
                    <xdr:colOff>292100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B088-FF2B-4241-AB06-759508982CBA}">
  <sheetPr codeName="Sheet1"/>
  <dimension ref="A1:AR2186"/>
  <sheetViews>
    <sheetView topLeftCell="AA1" workbookViewId="0">
      <selection sqref="A1:XFD5"/>
    </sheetView>
  </sheetViews>
  <sheetFormatPr defaultRowHeight="18" x14ac:dyDescent="0.55000000000000004"/>
  <sheetData>
    <row r="1" spans="1:44" x14ac:dyDescent="0.55000000000000004">
      <c r="A1" t="s">
        <v>29</v>
      </c>
      <c r="B1" t="s">
        <v>30</v>
      </c>
      <c r="C1" t="s">
        <v>0</v>
      </c>
      <c r="D1" t="s">
        <v>31</v>
      </c>
      <c r="E1" t="s">
        <v>32</v>
      </c>
      <c r="F1" t="s">
        <v>33</v>
      </c>
      <c r="G1" t="s">
        <v>34</v>
      </c>
      <c r="H1" t="s">
        <v>1</v>
      </c>
      <c r="I1" t="s">
        <v>28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  <c r="W1" t="s">
        <v>48</v>
      </c>
      <c r="X1" t="s">
        <v>49</v>
      </c>
      <c r="Y1" t="s">
        <v>50</v>
      </c>
      <c r="Z1" t="s">
        <v>51</v>
      </c>
      <c r="AA1" t="s">
        <v>52</v>
      </c>
      <c r="AB1" t="s">
        <v>53</v>
      </c>
      <c r="AC1" t="s">
        <v>3</v>
      </c>
      <c r="AD1" t="s">
        <v>4</v>
      </c>
      <c r="AE1" t="s">
        <v>54</v>
      </c>
      <c r="AF1" t="s">
        <v>55</v>
      </c>
      <c r="AG1" t="s">
        <v>7</v>
      </c>
      <c r="AH1" t="s">
        <v>21</v>
      </c>
      <c r="AI1" t="s">
        <v>56</v>
      </c>
      <c r="AJ1" t="s">
        <v>57</v>
      </c>
      <c r="AK1" t="s">
        <v>9</v>
      </c>
      <c r="AL1" t="s">
        <v>58</v>
      </c>
      <c r="AM1" t="s">
        <v>19</v>
      </c>
      <c r="AN1" t="s">
        <v>20</v>
      </c>
      <c r="AO1" t="s">
        <v>18</v>
      </c>
      <c r="AP1" t="s">
        <v>8</v>
      </c>
      <c r="AQ1" t="s">
        <v>59</v>
      </c>
      <c r="AR1" t="s">
        <v>27</v>
      </c>
    </row>
    <row r="6" spans="1:44" ht="17" customHeight="1" x14ac:dyDescent="0.55000000000000004">
      <c r="F6" s="1"/>
      <c r="G6" s="1"/>
      <c r="X6" s="1"/>
    </row>
    <row r="7" spans="1:44" ht="17" customHeight="1" x14ac:dyDescent="0.55000000000000004">
      <c r="F7" s="1"/>
      <c r="G7" s="1"/>
      <c r="X7" s="1"/>
    </row>
    <row r="8" spans="1:44" ht="17" customHeight="1" x14ac:dyDescent="0.55000000000000004">
      <c r="F8" s="1"/>
      <c r="G8" s="1"/>
      <c r="X8" s="1"/>
    </row>
    <row r="9" spans="1:44" x14ac:dyDescent="0.55000000000000004">
      <c r="F9" s="1"/>
      <c r="G9" s="1"/>
      <c r="H9" s="2"/>
    </row>
    <row r="10" spans="1:44" x14ac:dyDescent="0.55000000000000004">
      <c r="F10" s="1"/>
      <c r="G10" s="1"/>
      <c r="H10" s="2"/>
      <c r="AF10" s="3"/>
      <c r="AN10" s="3"/>
    </row>
    <row r="11" spans="1:44" x14ac:dyDescent="0.55000000000000004">
      <c r="F11" s="1"/>
      <c r="G11" s="1"/>
      <c r="H11" s="2"/>
    </row>
    <row r="12" spans="1:44" x14ac:dyDescent="0.55000000000000004">
      <c r="F12" s="1"/>
      <c r="G12" s="1"/>
      <c r="H12" s="2"/>
    </row>
    <row r="13" spans="1:44" x14ac:dyDescent="0.55000000000000004">
      <c r="F13" s="1"/>
      <c r="G13" s="1"/>
      <c r="H13" s="2"/>
    </row>
    <row r="14" spans="1:44" x14ac:dyDescent="0.55000000000000004">
      <c r="F14" s="1"/>
      <c r="G14" s="1"/>
      <c r="H14" s="2"/>
    </row>
    <row r="15" spans="1:44" x14ac:dyDescent="0.55000000000000004">
      <c r="F15" s="1"/>
      <c r="G15" s="1"/>
      <c r="H15" s="2"/>
      <c r="AF15" s="4"/>
      <c r="AN15" s="4"/>
    </row>
    <row r="16" spans="1:44" x14ac:dyDescent="0.55000000000000004">
      <c r="F16" s="1"/>
      <c r="G16" s="1"/>
      <c r="H16" s="2"/>
    </row>
    <row r="17" spans="6:24" x14ac:dyDescent="0.55000000000000004">
      <c r="F17" s="1"/>
      <c r="G17" s="1"/>
      <c r="H17" s="2"/>
    </row>
    <row r="18" spans="6:24" x14ac:dyDescent="0.55000000000000004">
      <c r="F18" s="1"/>
      <c r="G18" s="1"/>
      <c r="H18" s="2"/>
    </row>
    <row r="19" spans="6:24" x14ac:dyDescent="0.55000000000000004">
      <c r="F19" s="1"/>
      <c r="G19" s="1"/>
      <c r="H19" s="2"/>
    </row>
    <row r="20" spans="6:24" x14ac:dyDescent="0.55000000000000004">
      <c r="F20" s="1"/>
      <c r="G20" s="1"/>
      <c r="H20" s="2"/>
    </row>
    <row r="21" spans="6:24" x14ac:dyDescent="0.55000000000000004">
      <c r="F21" s="1"/>
      <c r="G21" s="1"/>
      <c r="H21" s="2"/>
    </row>
    <row r="22" spans="6:24" x14ac:dyDescent="0.55000000000000004">
      <c r="F22" s="1"/>
      <c r="G22" s="1"/>
      <c r="H22" s="2"/>
    </row>
    <row r="23" spans="6:24" x14ac:dyDescent="0.55000000000000004">
      <c r="F23" s="1"/>
      <c r="G23" s="1"/>
      <c r="H23" s="2"/>
    </row>
    <row r="24" spans="6:24" x14ac:dyDescent="0.55000000000000004">
      <c r="F24" s="1"/>
      <c r="G24" s="1"/>
      <c r="H24" s="2"/>
    </row>
    <row r="25" spans="6:24" x14ac:dyDescent="0.55000000000000004">
      <c r="F25" s="1"/>
      <c r="G25" s="1"/>
      <c r="H25" s="2"/>
    </row>
    <row r="26" spans="6:24" x14ac:dyDescent="0.55000000000000004">
      <c r="F26" s="1"/>
      <c r="G26" s="1"/>
      <c r="H26" s="2"/>
    </row>
    <row r="27" spans="6:24" x14ac:dyDescent="0.55000000000000004">
      <c r="F27" s="1"/>
      <c r="G27" s="1"/>
      <c r="H27" s="2"/>
    </row>
    <row r="28" spans="6:24" x14ac:dyDescent="0.55000000000000004">
      <c r="F28" s="1"/>
      <c r="G28" s="1"/>
      <c r="H28" s="2"/>
    </row>
    <row r="29" spans="6:24" x14ac:dyDescent="0.55000000000000004">
      <c r="F29" s="1"/>
      <c r="G29" s="1"/>
      <c r="H29" s="2"/>
    </row>
    <row r="30" spans="6:24" x14ac:dyDescent="0.55000000000000004">
      <c r="F30" s="1"/>
      <c r="G30" s="1"/>
      <c r="H30" s="2"/>
      <c r="X30" s="1"/>
    </row>
    <row r="31" spans="6:24" x14ac:dyDescent="0.55000000000000004">
      <c r="F31" s="1"/>
      <c r="G31" s="1"/>
      <c r="H31" s="2"/>
      <c r="X31" s="1"/>
    </row>
    <row r="32" spans="6:24" x14ac:dyDescent="0.55000000000000004">
      <c r="F32" s="1"/>
      <c r="G32" s="1"/>
      <c r="H32" s="2"/>
      <c r="X32" s="1"/>
    </row>
    <row r="33" spans="6:24" x14ac:dyDescent="0.55000000000000004">
      <c r="F33" s="1"/>
      <c r="G33" s="1"/>
      <c r="H33" s="2"/>
      <c r="X33" s="1"/>
    </row>
    <row r="34" spans="6:24" x14ac:dyDescent="0.55000000000000004">
      <c r="F34" s="1"/>
      <c r="G34" s="1"/>
      <c r="H34" s="2"/>
      <c r="X34" s="1"/>
    </row>
    <row r="35" spans="6:24" x14ac:dyDescent="0.55000000000000004">
      <c r="F35" s="1"/>
      <c r="G35" s="1"/>
      <c r="H35" s="2"/>
      <c r="X35" s="1"/>
    </row>
    <row r="36" spans="6:24" x14ac:dyDescent="0.55000000000000004">
      <c r="F36" s="1"/>
      <c r="G36" s="1"/>
      <c r="H36" s="2"/>
      <c r="X36" s="1"/>
    </row>
    <row r="37" spans="6:24" x14ac:dyDescent="0.55000000000000004">
      <c r="F37" s="1"/>
      <c r="G37" s="1"/>
      <c r="H37" s="2"/>
      <c r="X37" s="1"/>
    </row>
    <row r="38" spans="6:24" x14ac:dyDescent="0.55000000000000004">
      <c r="F38" s="1"/>
      <c r="G38" s="1"/>
      <c r="H38" s="2"/>
      <c r="X38" s="1"/>
    </row>
    <row r="39" spans="6:24" x14ac:dyDescent="0.55000000000000004">
      <c r="F39" s="1"/>
      <c r="G39" s="1"/>
      <c r="H39" s="2"/>
      <c r="X39" s="1"/>
    </row>
    <row r="40" spans="6:24" x14ac:dyDescent="0.55000000000000004">
      <c r="F40" s="1"/>
      <c r="G40" s="1"/>
      <c r="H40" s="2"/>
      <c r="X40" s="1"/>
    </row>
    <row r="41" spans="6:24" x14ac:dyDescent="0.55000000000000004">
      <c r="F41" s="1"/>
      <c r="G41" s="1"/>
      <c r="H41" s="2"/>
      <c r="X41" s="1"/>
    </row>
    <row r="42" spans="6:24" x14ac:dyDescent="0.55000000000000004">
      <c r="F42" s="1"/>
      <c r="G42" s="1"/>
      <c r="H42" s="2"/>
      <c r="X42" s="1"/>
    </row>
    <row r="43" spans="6:24" x14ac:dyDescent="0.55000000000000004">
      <c r="F43" s="1"/>
      <c r="G43" s="1"/>
      <c r="H43" s="2"/>
      <c r="X43" s="1"/>
    </row>
    <row r="44" spans="6:24" x14ac:dyDescent="0.55000000000000004">
      <c r="F44" s="1"/>
      <c r="G44" s="1"/>
      <c r="H44" s="2"/>
      <c r="X44" s="1"/>
    </row>
    <row r="45" spans="6:24" x14ac:dyDescent="0.55000000000000004">
      <c r="F45" s="1"/>
      <c r="G45" s="1"/>
      <c r="H45" s="2"/>
      <c r="X45" s="1"/>
    </row>
    <row r="46" spans="6:24" x14ac:dyDescent="0.55000000000000004">
      <c r="F46" s="1"/>
      <c r="G46" s="1"/>
      <c r="H46" s="2"/>
      <c r="X46" s="1"/>
    </row>
    <row r="47" spans="6:24" x14ac:dyDescent="0.55000000000000004">
      <c r="F47" s="1"/>
      <c r="G47" s="1"/>
      <c r="H47" s="2"/>
      <c r="X47" s="1"/>
    </row>
    <row r="48" spans="6:24" x14ac:dyDescent="0.55000000000000004">
      <c r="F48" s="1"/>
      <c r="G48" s="1"/>
      <c r="H48" s="2"/>
      <c r="X48" s="1"/>
    </row>
    <row r="49" spans="6:40" x14ac:dyDescent="0.55000000000000004">
      <c r="F49" s="1"/>
      <c r="G49" s="1"/>
      <c r="H49" s="2"/>
      <c r="X49" s="1"/>
    </row>
    <row r="50" spans="6:40" x14ac:dyDescent="0.55000000000000004">
      <c r="F50" s="1"/>
      <c r="G50" s="1"/>
      <c r="H50" s="2"/>
      <c r="X50" s="1"/>
      <c r="AF50" s="4"/>
      <c r="AN50" s="4"/>
    </row>
    <row r="51" spans="6:40" x14ac:dyDescent="0.55000000000000004">
      <c r="F51" s="1"/>
      <c r="G51" s="1"/>
      <c r="H51" s="2"/>
      <c r="X51" s="1"/>
    </row>
    <row r="52" spans="6:40" x14ac:dyDescent="0.55000000000000004">
      <c r="F52" s="1"/>
      <c r="G52" s="1"/>
      <c r="H52" s="2"/>
      <c r="X52" s="1"/>
    </row>
    <row r="53" spans="6:40" x14ac:dyDescent="0.55000000000000004">
      <c r="F53" s="1"/>
      <c r="G53" s="1"/>
      <c r="H53" s="2"/>
      <c r="X53" s="1"/>
    </row>
    <row r="54" spans="6:40" x14ac:dyDescent="0.55000000000000004">
      <c r="F54" s="1"/>
      <c r="G54" s="1"/>
      <c r="H54" s="2"/>
      <c r="X54" s="1"/>
    </row>
    <row r="55" spans="6:40" x14ac:dyDescent="0.55000000000000004">
      <c r="F55" s="1"/>
      <c r="G55" s="1"/>
      <c r="H55" s="2"/>
      <c r="X55" s="1"/>
    </row>
    <row r="56" spans="6:40" x14ac:dyDescent="0.55000000000000004">
      <c r="F56" s="1"/>
      <c r="G56" s="1"/>
      <c r="H56" s="2"/>
      <c r="X56" s="1"/>
      <c r="AF56" s="3"/>
      <c r="AN56" s="3"/>
    </row>
    <row r="57" spans="6:40" x14ac:dyDescent="0.55000000000000004">
      <c r="F57" s="1"/>
      <c r="G57" s="1"/>
      <c r="H57" s="2"/>
      <c r="X57" s="1"/>
    </row>
    <row r="58" spans="6:40" x14ac:dyDescent="0.55000000000000004">
      <c r="F58" s="1"/>
      <c r="G58" s="1"/>
      <c r="H58" s="2"/>
      <c r="X58" s="1"/>
    </row>
    <row r="59" spans="6:40" x14ac:dyDescent="0.55000000000000004">
      <c r="F59" s="1"/>
      <c r="G59" s="1"/>
      <c r="H59" s="2"/>
      <c r="X59" s="1"/>
    </row>
    <row r="60" spans="6:40" x14ac:dyDescent="0.55000000000000004">
      <c r="F60" s="1"/>
      <c r="G60" s="1"/>
      <c r="H60" s="2"/>
      <c r="X60" s="1"/>
    </row>
    <row r="61" spans="6:40" x14ac:dyDescent="0.55000000000000004">
      <c r="F61" s="1"/>
      <c r="G61" s="1"/>
      <c r="H61" s="2"/>
      <c r="X61" s="1"/>
    </row>
    <row r="62" spans="6:40" x14ac:dyDescent="0.55000000000000004">
      <c r="F62" s="1"/>
      <c r="G62" s="1"/>
      <c r="H62" s="2"/>
      <c r="X62" s="1"/>
      <c r="AF62" s="4"/>
      <c r="AN62" s="4"/>
    </row>
    <row r="63" spans="6:40" x14ac:dyDescent="0.55000000000000004">
      <c r="F63" s="1"/>
      <c r="G63" s="1"/>
      <c r="H63" s="2"/>
      <c r="X63" s="1"/>
    </row>
    <row r="64" spans="6:40" x14ac:dyDescent="0.55000000000000004">
      <c r="F64" s="1"/>
      <c r="G64" s="1"/>
      <c r="H64" s="2"/>
      <c r="X64" s="1"/>
    </row>
    <row r="65" spans="6:42" x14ac:dyDescent="0.55000000000000004">
      <c r="F65" s="1"/>
      <c r="G65" s="1"/>
      <c r="H65" s="2"/>
      <c r="X65" s="1"/>
    </row>
    <row r="66" spans="6:42" x14ac:dyDescent="0.55000000000000004">
      <c r="F66" s="1"/>
      <c r="G66" s="1"/>
      <c r="H66" s="2"/>
      <c r="X66" s="1"/>
      <c r="AP66" s="2"/>
    </row>
    <row r="67" spans="6:42" x14ac:dyDescent="0.55000000000000004">
      <c r="F67" s="1"/>
      <c r="G67" s="1"/>
      <c r="H67" s="2"/>
      <c r="X67" s="1"/>
    </row>
    <row r="68" spans="6:42" x14ac:dyDescent="0.55000000000000004">
      <c r="F68" s="1"/>
      <c r="G68" s="1"/>
      <c r="H68" s="2"/>
      <c r="X68" s="1"/>
    </row>
    <row r="69" spans="6:42" x14ac:dyDescent="0.55000000000000004">
      <c r="F69" s="1"/>
      <c r="G69" s="1"/>
      <c r="H69" s="2"/>
      <c r="X69" s="1"/>
    </row>
    <row r="70" spans="6:42" x14ac:dyDescent="0.55000000000000004">
      <c r="F70" s="1"/>
      <c r="G70" s="1"/>
      <c r="H70" s="2"/>
      <c r="X70" s="1"/>
      <c r="AF70" s="4"/>
      <c r="AN70" s="4"/>
    </row>
    <row r="71" spans="6:42" x14ac:dyDescent="0.55000000000000004">
      <c r="F71" s="1"/>
      <c r="G71" s="1"/>
      <c r="H71" s="2"/>
      <c r="X71" s="1"/>
    </row>
    <row r="72" spans="6:42" x14ac:dyDescent="0.55000000000000004">
      <c r="F72" s="1"/>
      <c r="G72" s="1"/>
      <c r="H72" s="2"/>
      <c r="X72" s="1"/>
    </row>
    <row r="73" spans="6:42" x14ac:dyDescent="0.55000000000000004">
      <c r="F73" s="1"/>
      <c r="G73" s="1"/>
      <c r="H73" s="2"/>
      <c r="X73" s="1"/>
    </row>
    <row r="74" spans="6:42" x14ac:dyDescent="0.55000000000000004">
      <c r="F74" s="1"/>
      <c r="G74" s="1"/>
      <c r="H74" s="2"/>
      <c r="X74" s="1"/>
      <c r="AF74" s="4"/>
      <c r="AN74" s="4"/>
    </row>
    <row r="75" spans="6:42" x14ac:dyDescent="0.55000000000000004">
      <c r="F75" s="1"/>
      <c r="G75" s="1"/>
      <c r="H75" s="2"/>
      <c r="X75" s="1"/>
      <c r="AF75" s="4"/>
      <c r="AN75" s="4"/>
    </row>
    <row r="76" spans="6:42" x14ac:dyDescent="0.55000000000000004">
      <c r="F76" s="1"/>
      <c r="G76" s="1"/>
      <c r="H76" s="2"/>
      <c r="X76" s="1"/>
    </row>
    <row r="77" spans="6:42" x14ac:dyDescent="0.55000000000000004">
      <c r="F77" s="1"/>
      <c r="G77" s="1"/>
      <c r="H77" s="2"/>
      <c r="X77" s="1"/>
    </row>
    <row r="78" spans="6:42" x14ac:dyDescent="0.55000000000000004">
      <c r="F78" s="1"/>
      <c r="G78" s="1"/>
      <c r="H78" s="2"/>
      <c r="X78" s="1"/>
    </row>
    <row r="79" spans="6:42" x14ac:dyDescent="0.55000000000000004">
      <c r="F79" s="1"/>
      <c r="G79" s="1"/>
      <c r="H79" s="2"/>
      <c r="X79" s="1"/>
    </row>
    <row r="80" spans="6:42" x14ac:dyDescent="0.55000000000000004">
      <c r="F80" s="1"/>
      <c r="G80" s="1"/>
      <c r="H80" s="2"/>
      <c r="X80" s="1"/>
    </row>
    <row r="81" spans="6:40" x14ac:dyDescent="0.55000000000000004">
      <c r="F81" s="1"/>
      <c r="G81" s="1"/>
      <c r="H81" s="2"/>
      <c r="X81" s="1"/>
    </row>
    <row r="82" spans="6:40" x14ac:dyDescent="0.55000000000000004">
      <c r="F82" s="1"/>
      <c r="G82" s="1"/>
      <c r="H82" s="2"/>
      <c r="X82" s="1"/>
    </row>
    <row r="83" spans="6:40" x14ac:dyDescent="0.55000000000000004">
      <c r="F83" s="1"/>
      <c r="G83" s="1"/>
      <c r="H83" s="2"/>
      <c r="X83" s="1"/>
    </row>
    <row r="84" spans="6:40" x14ac:dyDescent="0.55000000000000004">
      <c r="F84" s="1"/>
      <c r="G84" s="1"/>
      <c r="H84" s="2"/>
      <c r="X84" s="1"/>
    </row>
    <row r="85" spans="6:40" x14ac:dyDescent="0.55000000000000004">
      <c r="F85" s="1"/>
      <c r="G85" s="1"/>
      <c r="H85" s="2"/>
      <c r="X85" s="1"/>
    </row>
    <row r="86" spans="6:40" x14ac:dyDescent="0.55000000000000004">
      <c r="F86" s="1"/>
      <c r="G86" s="1"/>
      <c r="H86" s="2"/>
      <c r="X86" s="1"/>
    </row>
    <row r="87" spans="6:40" x14ac:dyDescent="0.55000000000000004">
      <c r="F87" s="1"/>
      <c r="G87" s="1"/>
      <c r="H87" s="2"/>
      <c r="X87" s="1"/>
    </row>
    <row r="88" spans="6:40" x14ac:dyDescent="0.55000000000000004">
      <c r="F88" s="1"/>
      <c r="G88" s="1"/>
      <c r="H88" s="2"/>
      <c r="X88" s="1"/>
    </row>
    <row r="89" spans="6:40" x14ac:dyDescent="0.55000000000000004">
      <c r="F89" s="1"/>
      <c r="G89" s="1"/>
      <c r="H89" s="2"/>
      <c r="X89" s="1"/>
    </row>
    <row r="90" spans="6:40" x14ac:dyDescent="0.55000000000000004">
      <c r="F90" s="1"/>
      <c r="G90" s="1"/>
      <c r="H90" s="2"/>
      <c r="X90" s="1"/>
    </row>
    <row r="91" spans="6:40" x14ac:dyDescent="0.55000000000000004">
      <c r="F91" s="1"/>
      <c r="G91" s="1"/>
      <c r="H91" s="2"/>
      <c r="X91" s="1"/>
    </row>
    <row r="92" spans="6:40" x14ac:dyDescent="0.55000000000000004">
      <c r="F92" s="1"/>
      <c r="G92" s="1"/>
      <c r="H92" s="2"/>
      <c r="X92" s="1"/>
    </row>
    <row r="93" spans="6:40" x14ac:dyDescent="0.55000000000000004">
      <c r="F93" s="1"/>
      <c r="G93" s="1"/>
      <c r="H93" s="2"/>
      <c r="X93" s="1"/>
    </row>
    <row r="94" spans="6:40" x14ac:dyDescent="0.55000000000000004">
      <c r="F94" s="1"/>
      <c r="G94" s="1"/>
      <c r="H94" s="2"/>
      <c r="X94" s="1"/>
    </row>
    <row r="95" spans="6:40" x14ac:dyDescent="0.55000000000000004">
      <c r="F95" s="1"/>
      <c r="G95" s="1"/>
      <c r="H95" s="2"/>
      <c r="X95" s="1"/>
    </row>
    <row r="96" spans="6:40" x14ac:dyDescent="0.55000000000000004">
      <c r="F96" s="1"/>
      <c r="G96" s="1"/>
      <c r="H96" s="2"/>
      <c r="X96" s="1"/>
      <c r="AF96" s="4"/>
      <c r="AN96" s="4"/>
    </row>
    <row r="97" spans="6:40" x14ac:dyDescent="0.55000000000000004">
      <c r="F97" s="1"/>
      <c r="G97" s="1"/>
      <c r="H97" s="2"/>
      <c r="X97" s="1"/>
    </row>
    <row r="98" spans="6:40" x14ac:dyDescent="0.55000000000000004">
      <c r="F98" s="1"/>
      <c r="G98" s="1"/>
      <c r="H98" s="2"/>
      <c r="X98" s="1"/>
    </row>
    <row r="99" spans="6:40" x14ac:dyDescent="0.55000000000000004">
      <c r="F99" s="1"/>
      <c r="G99" s="1"/>
      <c r="H99" s="2"/>
      <c r="X99" s="1"/>
    </row>
    <row r="100" spans="6:40" x14ac:dyDescent="0.55000000000000004">
      <c r="F100" s="1"/>
      <c r="G100" s="1"/>
      <c r="H100" s="2"/>
      <c r="X100" s="1"/>
    </row>
    <row r="101" spans="6:40" x14ac:dyDescent="0.55000000000000004">
      <c r="F101" s="1"/>
      <c r="G101" s="1"/>
      <c r="H101" s="2"/>
      <c r="X101" s="1"/>
    </row>
    <row r="102" spans="6:40" x14ac:dyDescent="0.55000000000000004">
      <c r="F102" s="1"/>
      <c r="G102" s="1"/>
      <c r="H102" s="2"/>
      <c r="X102" s="1"/>
    </row>
    <row r="103" spans="6:40" x14ac:dyDescent="0.55000000000000004">
      <c r="F103" s="1"/>
      <c r="G103" s="1"/>
      <c r="H103" s="2"/>
      <c r="X103" s="1"/>
    </row>
    <row r="104" spans="6:40" x14ac:dyDescent="0.55000000000000004">
      <c r="F104" s="1"/>
      <c r="G104" s="1"/>
      <c r="H104" s="2"/>
      <c r="X104" s="1"/>
    </row>
    <row r="105" spans="6:40" x14ac:dyDescent="0.55000000000000004">
      <c r="F105" s="1"/>
      <c r="G105" s="1"/>
      <c r="H105" s="2"/>
      <c r="X105" s="1"/>
    </row>
    <row r="106" spans="6:40" x14ac:dyDescent="0.55000000000000004">
      <c r="F106" s="1"/>
      <c r="G106" s="1"/>
      <c r="H106" s="2"/>
      <c r="X106" s="1"/>
    </row>
    <row r="107" spans="6:40" x14ac:dyDescent="0.55000000000000004">
      <c r="F107" s="1"/>
      <c r="G107" s="1"/>
      <c r="H107" s="2"/>
      <c r="X107" s="1"/>
    </row>
    <row r="108" spans="6:40" x14ac:dyDescent="0.55000000000000004">
      <c r="F108" s="1"/>
      <c r="G108" s="1"/>
      <c r="H108" s="2"/>
      <c r="X108" s="1"/>
    </row>
    <row r="109" spans="6:40" x14ac:dyDescent="0.55000000000000004">
      <c r="F109" s="1"/>
      <c r="G109" s="1"/>
      <c r="H109" s="2"/>
      <c r="X109" s="1"/>
    </row>
    <row r="110" spans="6:40" x14ac:dyDescent="0.55000000000000004">
      <c r="F110" s="1"/>
      <c r="G110" s="1"/>
      <c r="H110" s="2"/>
      <c r="X110" s="1"/>
    </row>
    <row r="111" spans="6:40" x14ac:dyDescent="0.55000000000000004">
      <c r="F111" s="1"/>
      <c r="G111" s="1"/>
      <c r="H111" s="2"/>
      <c r="X111" s="1"/>
      <c r="AF111" s="3"/>
      <c r="AN111" s="3"/>
    </row>
    <row r="112" spans="6:40" x14ac:dyDescent="0.55000000000000004">
      <c r="F112" s="1"/>
      <c r="G112" s="1"/>
      <c r="H112" s="2"/>
      <c r="X112" s="1"/>
    </row>
    <row r="113" spans="6:40" x14ac:dyDescent="0.55000000000000004">
      <c r="F113" s="1"/>
      <c r="G113" s="1"/>
      <c r="H113" s="2"/>
      <c r="X113" s="1"/>
    </row>
    <row r="114" spans="6:40" x14ac:dyDescent="0.55000000000000004">
      <c r="F114" s="1"/>
      <c r="G114" s="1"/>
      <c r="H114" s="2"/>
      <c r="X114" s="1"/>
    </row>
    <row r="115" spans="6:40" x14ac:dyDescent="0.55000000000000004">
      <c r="F115" s="1"/>
      <c r="G115" s="1"/>
      <c r="H115" s="2"/>
      <c r="X115" s="1"/>
    </row>
    <row r="116" spans="6:40" x14ac:dyDescent="0.55000000000000004">
      <c r="F116" s="1"/>
      <c r="G116" s="1"/>
      <c r="H116" s="2"/>
      <c r="X116" s="1"/>
    </row>
    <row r="117" spans="6:40" x14ac:dyDescent="0.55000000000000004">
      <c r="F117" s="1"/>
      <c r="G117" s="1"/>
      <c r="H117" s="2"/>
      <c r="X117" s="1"/>
      <c r="AF117" s="4"/>
      <c r="AN117" s="4"/>
    </row>
    <row r="118" spans="6:40" x14ac:dyDescent="0.55000000000000004">
      <c r="F118" s="1"/>
      <c r="G118" s="1"/>
      <c r="H118" s="2"/>
      <c r="X118" s="1"/>
    </row>
    <row r="119" spans="6:40" x14ac:dyDescent="0.55000000000000004">
      <c r="F119" s="1"/>
      <c r="G119" s="1"/>
      <c r="H119" s="2"/>
      <c r="X119" s="1"/>
    </row>
    <row r="120" spans="6:40" x14ac:dyDescent="0.55000000000000004">
      <c r="F120" s="1"/>
      <c r="G120" s="1"/>
      <c r="H120" s="2"/>
      <c r="X120" s="1"/>
    </row>
    <row r="121" spans="6:40" x14ac:dyDescent="0.55000000000000004">
      <c r="F121" s="1"/>
      <c r="G121" s="1"/>
      <c r="H121" s="2"/>
      <c r="X121" s="1"/>
    </row>
    <row r="122" spans="6:40" x14ac:dyDescent="0.55000000000000004">
      <c r="F122" s="1"/>
      <c r="G122" s="1"/>
      <c r="H122" s="2"/>
      <c r="X122" s="1"/>
    </row>
    <row r="123" spans="6:40" x14ac:dyDescent="0.55000000000000004">
      <c r="F123" s="1"/>
      <c r="G123" s="1"/>
      <c r="H123" s="2"/>
      <c r="X123" s="1"/>
    </row>
    <row r="124" spans="6:40" x14ac:dyDescent="0.55000000000000004">
      <c r="F124" s="1"/>
      <c r="G124" s="1"/>
      <c r="H124" s="2"/>
      <c r="X124" s="1"/>
    </row>
    <row r="125" spans="6:40" x14ac:dyDescent="0.55000000000000004">
      <c r="F125" s="1"/>
      <c r="G125" s="1"/>
      <c r="H125" s="2"/>
      <c r="X125" s="1"/>
    </row>
    <row r="126" spans="6:40" x14ac:dyDescent="0.55000000000000004">
      <c r="F126" s="1"/>
      <c r="G126" s="1"/>
      <c r="H126" s="2"/>
      <c r="X126" s="1"/>
    </row>
    <row r="127" spans="6:40" x14ac:dyDescent="0.55000000000000004">
      <c r="F127" s="1"/>
      <c r="G127" s="1"/>
      <c r="H127" s="2"/>
      <c r="X127" s="1"/>
    </row>
    <row r="128" spans="6:40" x14ac:dyDescent="0.55000000000000004">
      <c r="F128" s="1"/>
      <c r="G128" s="1"/>
      <c r="H128" s="2"/>
      <c r="X128" s="1"/>
    </row>
    <row r="129" spans="6:40" x14ac:dyDescent="0.55000000000000004">
      <c r="F129" s="1"/>
      <c r="G129" s="1"/>
      <c r="H129" s="2"/>
      <c r="X129" s="1"/>
    </row>
    <row r="130" spans="6:40" x14ac:dyDescent="0.55000000000000004">
      <c r="F130" s="1"/>
      <c r="G130" s="1"/>
      <c r="H130" s="2"/>
      <c r="X130" s="1"/>
    </row>
    <row r="131" spans="6:40" x14ac:dyDescent="0.55000000000000004">
      <c r="F131" s="1"/>
      <c r="H131" s="2"/>
    </row>
    <row r="132" spans="6:40" x14ac:dyDescent="0.55000000000000004">
      <c r="F132" s="1"/>
      <c r="G132" s="1"/>
      <c r="H132" s="2"/>
      <c r="X132" s="1"/>
    </row>
    <row r="133" spans="6:40" x14ac:dyDescent="0.55000000000000004">
      <c r="F133" s="1"/>
      <c r="G133" s="1"/>
      <c r="H133" s="2"/>
      <c r="X133" s="1"/>
    </row>
    <row r="134" spans="6:40" x14ac:dyDescent="0.55000000000000004">
      <c r="F134" s="1"/>
      <c r="G134" s="1"/>
      <c r="H134" s="2"/>
      <c r="X134" s="1"/>
    </row>
    <row r="135" spans="6:40" x14ac:dyDescent="0.55000000000000004">
      <c r="F135" s="1"/>
      <c r="G135" s="1"/>
      <c r="H135" s="2"/>
      <c r="X135" s="1"/>
    </row>
    <row r="136" spans="6:40" x14ac:dyDescent="0.55000000000000004">
      <c r="F136" s="1"/>
      <c r="G136" s="1"/>
      <c r="H136" s="2"/>
      <c r="X136" s="1"/>
      <c r="AF136" s="4"/>
      <c r="AN136" s="4"/>
    </row>
    <row r="137" spans="6:40" x14ac:dyDescent="0.55000000000000004">
      <c r="F137" s="1"/>
      <c r="G137" s="1"/>
      <c r="H137" s="2"/>
      <c r="X137" s="1"/>
    </row>
    <row r="138" spans="6:40" x14ac:dyDescent="0.55000000000000004">
      <c r="F138" s="1"/>
      <c r="G138" s="1"/>
      <c r="H138" s="2"/>
      <c r="X138" s="1"/>
    </row>
    <row r="139" spans="6:40" x14ac:dyDescent="0.55000000000000004">
      <c r="F139" s="1"/>
      <c r="G139" s="1"/>
      <c r="H139" s="2"/>
      <c r="X139" s="1"/>
    </row>
    <row r="140" spans="6:40" x14ac:dyDescent="0.55000000000000004">
      <c r="F140" s="1"/>
      <c r="G140" s="1"/>
      <c r="H140" s="2"/>
      <c r="X140" s="1"/>
    </row>
    <row r="141" spans="6:40" x14ac:dyDescent="0.55000000000000004">
      <c r="F141" s="1"/>
      <c r="G141" s="1"/>
      <c r="H141" s="2"/>
      <c r="X141" s="1"/>
    </row>
    <row r="142" spans="6:40" x14ac:dyDescent="0.55000000000000004">
      <c r="F142" s="1"/>
      <c r="G142" s="1"/>
      <c r="H142" s="2"/>
      <c r="X142" s="1"/>
    </row>
    <row r="143" spans="6:40" x14ac:dyDescent="0.55000000000000004">
      <c r="F143" s="1"/>
      <c r="G143" s="1"/>
      <c r="H143" s="2"/>
      <c r="X143" s="1"/>
    </row>
    <row r="144" spans="6:40" x14ac:dyDescent="0.55000000000000004">
      <c r="F144" s="1"/>
      <c r="G144" s="1"/>
      <c r="H144" s="2"/>
      <c r="X144" s="1"/>
    </row>
    <row r="145" spans="6:40" x14ac:dyDescent="0.55000000000000004">
      <c r="F145" s="1"/>
      <c r="G145" s="1"/>
      <c r="H145" s="2"/>
      <c r="X145" s="1"/>
    </row>
    <row r="146" spans="6:40" x14ac:dyDescent="0.55000000000000004">
      <c r="F146" s="1"/>
      <c r="G146" s="1"/>
      <c r="H146" s="2"/>
      <c r="X146" s="1"/>
    </row>
    <row r="147" spans="6:40" x14ac:dyDescent="0.55000000000000004">
      <c r="F147" s="1"/>
      <c r="G147" s="1"/>
      <c r="H147" s="2"/>
      <c r="X147" s="1"/>
    </row>
    <row r="148" spans="6:40" x14ac:dyDescent="0.55000000000000004">
      <c r="F148" s="1"/>
      <c r="G148" s="1"/>
      <c r="H148" s="2"/>
      <c r="X148" s="1"/>
    </row>
    <row r="149" spans="6:40" x14ac:dyDescent="0.55000000000000004">
      <c r="F149" s="1"/>
      <c r="G149" s="1"/>
      <c r="H149" s="2"/>
      <c r="X149" s="1"/>
    </row>
    <row r="150" spans="6:40" x14ac:dyDescent="0.55000000000000004">
      <c r="F150" s="1"/>
      <c r="G150" s="1"/>
      <c r="H150" s="2"/>
      <c r="X150" s="1"/>
    </row>
    <row r="151" spans="6:40" x14ac:dyDescent="0.55000000000000004">
      <c r="F151" s="1"/>
      <c r="G151" s="1"/>
      <c r="H151" s="2"/>
      <c r="X151" s="1"/>
    </row>
    <row r="152" spans="6:40" x14ac:dyDescent="0.55000000000000004">
      <c r="F152" s="1"/>
      <c r="G152" s="1"/>
      <c r="H152" s="2"/>
      <c r="X152" s="1"/>
    </row>
    <row r="153" spans="6:40" x14ac:dyDescent="0.55000000000000004">
      <c r="F153" s="1"/>
      <c r="G153" s="1"/>
      <c r="H153" s="2"/>
      <c r="X153" s="1"/>
      <c r="AF153" s="4"/>
      <c r="AN153" s="4"/>
    </row>
    <row r="154" spans="6:40" x14ac:dyDescent="0.55000000000000004">
      <c r="F154" s="1"/>
      <c r="G154" s="1"/>
      <c r="H154" s="2"/>
      <c r="X154" s="1"/>
    </row>
    <row r="155" spans="6:40" x14ac:dyDescent="0.55000000000000004">
      <c r="F155" s="1"/>
      <c r="G155" s="1"/>
      <c r="H155" s="2"/>
      <c r="X155" s="1"/>
    </row>
    <row r="156" spans="6:40" x14ac:dyDescent="0.55000000000000004">
      <c r="F156" s="1"/>
      <c r="G156" s="1"/>
      <c r="H156" s="2"/>
      <c r="X156" s="1"/>
      <c r="AF156" s="3"/>
      <c r="AN156" s="3"/>
    </row>
    <row r="157" spans="6:40" x14ac:dyDescent="0.55000000000000004">
      <c r="F157" s="1"/>
      <c r="G157" s="1"/>
      <c r="H157" s="2"/>
      <c r="X157" s="1"/>
    </row>
    <row r="158" spans="6:40" x14ac:dyDescent="0.55000000000000004">
      <c r="F158" s="1"/>
      <c r="G158" s="1"/>
      <c r="H158" s="2"/>
      <c r="X158" s="1"/>
    </row>
    <row r="159" spans="6:40" x14ac:dyDescent="0.55000000000000004">
      <c r="F159" s="1"/>
      <c r="G159" s="1"/>
      <c r="H159" s="2"/>
      <c r="X159" s="1"/>
      <c r="AF159" s="5"/>
      <c r="AN159" s="5"/>
    </row>
    <row r="160" spans="6:40" x14ac:dyDescent="0.55000000000000004">
      <c r="F160" s="1"/>
      <c r="G160" s="1"/>
      <c r="H160" s="2"/>
      <c r="X160" s="1"/>
    </row>
    <row r="161" spans="6:40" x14ac:dyDescent="0.55000000000000004">
      <c r="F161" s="1"/>
      <c r="G161" s="1"/>
      <c r="H161" s="2"/>
      <c r="X161" s="1"/>
    </row>
    <row r="162" spans="6:40" x14ac:dyDescent="0.55000000000000004">
      <c r="F162" s="1"/>
      <c r="G162" s="1"/>
      <c r="H162" s="2"/>
      <c r="X162" s="1"/>
    </row>
    <row r="163" spans="6:40" x14ac:dyDescent="0.55000000000000004">
      <c r="F163" s="1"/>
      <c r="G163" s="1"/>
      <c r="H163" s="2"/>
      <c r="X163" s="1"/>
    </row>
    <row r="164" spans="6:40" x14ac:dyDescent="0.55000000000000004">
      <c r="F164" s="1"/>
      <c r="G164" s="1"/>
      <c r="H164" s="2"/>
      <c r="X164" s="1"/>
    </row>
    <row r="165" spans="6:40" x14ac:dyDescent="0.55000000000000004">
      <c r="F165" s="1"/>
      <c r="G165" s="1"/>
      <c r="H165" s="2"/>
      <c r="X165" s="1"/>
    </row>
    <row r="166" spans="6:40" x14ac:dyDescent="0.55000000000000004">
      <c r="F166" s="1"/>
      <c r="G166" s="1"/>
      <c r="H166" s="2"/>
      <c r="X166" s="1"/>
    </row>
    <row r="167" spans="6:40" x14ac:dyDescent="0.55000000000000004">
      <c r="F167" s="1"/>
      <c r="G167" s="1"/>
      <c r="H167" s="2"/>
      <c r="X167" s="1"/>
    </row>
    <row r="168" spans="6:40" x14ac:dyDescent="0.55000000000000004">
      <c r="F168" s="1"/>
      <c r="G168" s="1"/>
      <c r="H168" s="2"/>
      <c r="X168" s="1"/>
    </row>
    <row r="169" spans="6:40" x14ac:dyDescent="0.55000000000000004">
      <c r="F169" s="1"/>
      <c r="G169" s="1"/>
      <c r="H169" s="2"/>
      <c r="X169" s="1"/>
    </row>
    <row r="170" spans="6:40" x14ac:dyDescent="0.55000000000000004">
      <c r="F170" s="1"/>
      <c r="G170" s="1"/>
      <c r="H170" s="2"/>
      <c r="X170" s="1"/>
    </row>
    <row r="171" spans="6:40" x14ac:dyDescent="0.55000000000000004">
      <c r="F171" s="1"/>
      <c r="G171" s="1"/>
      <c r="H171" s="2"/>
      <c r="X171" s="1"/>
    </row>
    <row r="172" spans="6:40" x14ac:dyDescent="0.55000000000000004">
      <c r="F172" s="1"/>
      <c r="H172" s="2"/>
    </row>
    <row r="173" spans="6:40" x14ac:dyDescent="0.55000000000000004">
      <c r="F173" s="1"/>
      <c r="G173" s="1"/>
      <c r="H173" s="2"/>
      <c r="X173" s="1"/>
    </row>
    <row r="174" spans="6:40" x14ac:dyDescent="0.55000000000000004">
      <c r="F174" s="1"/>
      <c r="G174" s="1"/>
      <c r="H174" s="2"/>
      <c r="X174" s="1"/>
    </row>
    <row r="175" spans="6:40" x14ac:dyDescent="0.55000000000000004">
      <c r="F175" s="1"/>
      <c r="G175" s="1"/>
      <c r="H175" s="2"/>
      <c r="X175" s="1"/>
    </row>
    <row r="176" spans="6:40" x14ac:dyDescent="0.55000000000000004">
      <c r="F176" s="1"/>
      <c r="G176" s="1"/>
      <c r="H176" s="2"/>
      <c r="X176" s="1"/>
      <c r="AF176" s="4"/>
      <c r="AN176" s="4"/>
    </row>
    <row r="177" spans="6:40" x14ac:dyDescent="0.55000000000000004">
      <c r="F177" s="1"/>
      <c r="G177" s="1"/>
      <c r="H177" s="2"/>
      <c r="X177" s="1"/>
    </row>
    <row r="178" spans="6:40" x14ac:dyDescent="0.55000000000000004">
      <c r="F178" s="1"/>
      <c r="G178" s="1"/>
      <c r="H178" s="2"/>
      <c r="X178" s="1"/>
    </row>
    <row r="179" spans="6:40" x14ac:dyDescent="0.55000000000000004">
      <c r="F179" s="1"/>
      <c r="G179" s="1"/>
      <c r="H179" s="2"/>
      <c r="X179" s="1"/>
    </row>
    <row r="180" spans="6:40" x14ac:dyDescent="0.55000000000000004">
      <c r="F180" s="1"/>
      <c r="G180" s="1"/>
      <c r="H180" s="2"/>
      <c r="X180" s="1"/>
    </row>
    <row r="181" spans="6:40" x14ac:dyDescent="0.55000000000000004">
      <c r="F181" s="1"/>
      <c r="G181" s="1"/>
      <c r="H181" s="2"/>
      <c r="X181" s="1"/>
    </row>
    <row r="182" spans="6:40" x14ac:dyDescent="0.55000000000000004">
      <c r="F182" s="1"/>
      <c r="G182" s="1"/>
      <c r="H182" s="2"/>
      <c r="X182" s="1"/>
    </row>
    <row r="183" spans="6:40" x14ac:dyDescent="0.55000000000000004">
      <c r="F183" s="1"/>
      <c r="G183" s="1"/>
      <c r="H183" s="2"/>
      <c r="X183" s="1"/>
    </row>
    <row r="184" spans="6:40" x14ac:dyDescent="0.55000000000000004">
      <c r="F184" s="1"/>
      <c r="G184" s="1"/>
      <c r="H184" s="2"/>
      <c r="X184" s="1"/>
    </row>
    <row r="185" spans="6:40" x14ac:dyDescent="0.55000000000000004">
      <c r="F185" s="1"/>
      <c r="G185" s="1"/>
      <c r="H185" s="2"/>
      <c r="X185" s="1"/>
      <c r="AF185" s="4"/>
      <c r="AN185" s="4"/>
    </row>
    <row r="186" spans="6:40" x14ac:dyDescent="0.55000000000000004">
      <c r="F186" s="1"/>
      <c r="G186" s="1"/>
      <c r="H186" s="2"/>
      <c r="X186" s="1"/>
    </row>
    <row r="187" spans="6:40" x14ac:dyDescent="0.55000000000000004">
      <c r="F187" s="1"/>
      <c r="G187" s="1"/>
      <c r="H187" s="2"/>
      <c r="X187" s="1"/>
    </row>
    <row r="188" spans="6:40" x14ac:dyDescent="0.55000000000000004">
      <c r="F188" s="1"/>
      <c r="G188" s="1"/>
      <c r="H188" s="2"/>
      <c r="X188" s="1"/>
      <c r="AF188" s="4"/>
      <c r="AN188" s="4"/>
    </row>
    <row r="189" spans="6:40" x14ac:dyDescent="0.55000000000000004">
      <c r="F189" s="1"/>
      <c r="G189" s="1"/>
      <c r="H189" s="2"/>
      <c r="X189" s="1"/>
      <c r="AF189" s="4"/>
      <c r="AN189" s="4"/>
    </row>
    <row r="190" spans="6:40" x14ac:dyDescent="0.55000000000000004">
      <c r="F190" s="1"/>
      <c r="G190" s="1"/>
      <c r="H190" s="2"/>
      <c r="X190" s="1"/>
    </row>
    <row r="191" spans="6:40" x14ac:dyDescent="0.55000000000000004">
      <c r="F191" s="1"/>
      <c r="G191" s="1"/>
      <c r="H191" s="2"/>
      <c r="X191" s="1"/>
      <c r="AF191" s="3"/>
      <c r="AN191" s="3"/>
    </row>
    <row r="192" spans="6:40" x14ac:dyDescent="0.55000000000000004">
      <c r="F192" s="1"/>
      <c r="G192" s="1"/>
      <c r="H192" s="2"/>
      <c r="X192" s="1"/>
      <c r="AF192" s="3"/>
      <c r="AN192" s="3"/>
    </row>
    <row r="193" spans="6:24" x14ac:dyDescent="0.55000000000000004">
      <c r="F193" s="1"/>
      <c r="G193" s="1"/>
      <c r="H193" s="2"/>
      <c r="X193" s="1"/>
    </row>
    <row r="194" spans="6:24" x14ac:dyDescent="0.55000000000000004">
      <c r="F194" s="1"/>
      <c r="G194" s="1"/>
      <c r="H194" s="2"/>
      <c r="X194" s="1"/>
    </row>
    <row r="195" spans="6:24" x14ac:dyDescent="0.55000000000000004">
      <c r="F195" s="1"/>
      <c r="G195" s="1"/>
      <c r="H195" s="2"/>
      <c r="X195" s="1"/>
    </row>
    <row r="196" spans="6:24" x14ac:dyDescent="0.55000000000000004">
      <c r="F196" s="1"/>
      <c r="G196" s="1"/>
      <c r="H196" s="2"/>
      <c r="X196" s="1"/>
    </row>
    <row r="197" spans="6:24" x14ac:dyDescent="0.55000000000000004">
      <c r="F197" s="1"/>
      <c r="G197" s="1"/>
      <c r="H197" s="2"/>
      <c r="X197" s="1"/>
    </row>
    <row r="198" spans="6:24" x14ac:dyDescent="0.55000000000000004">
      <c r="F198" s="1"/>
      <c r="G198" s="1"/>
      <c r="H198" s="2"/>
      <c r="X198" s="1"/>
    </row>
    <row r="199" spans="6:24" x14ac:dyDescent="0.55000000000000004">
      <c r="F199" s="1"/>
      <c r="G199" s="1"/>
      <c r="H199" s="2"/>
      <c r="X199" s="1"/>
    </row>
    <row r="200" spans="6:24" x14ac:dyDescent="0.55000000000000004">
      <c r="F200" s="1"/>
      <c r="G200" s="1"/>
      <c r="H200" s="2"/>
      <c r="X200" s="1"/>
    </row>
    <row r="201" spans="6:24" x14ac:dyDescent="0.55000000000000004">
      <c r="F201" s="1"/>
      <c r="G201" s="1"/>
      <c r="H201" s="2"/>
      <c r="X201" s="1"/>
    </row>
    <row r="202" spans="6:24" x14ac:dyDescent="0.55000000000000004">
      <c r="F202" s="1"/>
      <c r="G202" s="1"/>
      <c r="H202" s="2"/>
      <c r="X202" s="1"/>
    </row>
    <row r="203" spans="6:24" x14ac:dyDescent="0.55000000000000004">
      <c r="F203" s="1"/>
      <c r="G203" s="1"/>
      <c r="H203" s="2"/>
      <c r="X203" s="1"/>
    </row>
    <row r="204" spans="6:24" x14ac:dyDescent="0.55000000000000004">
      <c r="F204" s="1"/>
      <c r="G204" s="1"/>
      <c r="H204" s="2"/>
      <c r="X204" s="1"/>
    </row>
    <row r="205" spans="6:24" x14ac:dyDescent="0.55000000000000004">
      <c r="F205" s="1"/>
      <c r="G205" s="1"/>
      <c r="H205" s="2"/>
      <c r="X205" s="1"/>
    </row>
    <row r="206" spans="6:24" x14ac:dyDescent="0.55000000000000004">
      <c r="F206" s="1"/>
      <c r="G206" s="1"/>
      <c r="H206" s="2"/>
      <c r="X206" s="1"/>
    </row>
    <row r="207" spans="6:24" x14ac:dyDescent="0.55000000000000004">
      <c r="F207" s="1"/>
      <c r="G207" s="1"/>
      <c r="H207" s="2"/>
      <c r="X207" s="1"/>
    </row>
    <row r="208" spans="6:24" x14ac:dyDescent="0.55000000000000004">
      <c r="F208" s="1"/>
      <c r="G208" s="1"/>
      <c r="H208" s="2"/>
      <c r="X208" s="1"/>
    </row>
    <row r="209" spans="6:40" x14ac:dyDescent="0.55000000000000004">
      <c r="F209" s="1"/>
      <c r="G209" s="1"/>
      <c r="H209" s="2"/>
      <c r="X209" s="1"/>
    </row>
    <row r="210" spans="6:40" x14ac:dyDescent="0.55000000000000004">
      <c r="F210" s="1"/>
      <c r="G210" s="1"/>
      <c r="H210" s="2"/>
      <c r="X210" s="1"/>
    </row>
    <row r="211" spans="6:40" x14ac:dyDescent="0.55000000000000004">
      <c r="F211" s="1"/>
      <c r="G211" s="1"/>
      <c r="H211" s="2"/>
      <c r="X211" s="1"/>
      <c r="AF211" s="4"/>
      <c r="AN211" s="4"/>
    </row>
    <row r="212" spans="6:40" x14ac:dyDescent="0.55000000000000004">
      <c r="F212" s="1"/>
      <c r="G212" s="1"/>
      <c r="H212" s="2"/>
      <c r="X212" s="1"/>
    </row>
    <row r="213" spans="6:40" x14ac:dyDescent="0.55000000000000004">
      <c r="F213" s="1"/>
      <c r="G213" s="1"/>
      <c r="H213" s="2"/>
      <c r="X213" s="1"/>
    </row>
    <row r="214" spans="6:40" x14ac:dyDescent="0.55000000000000004">
      <c r="F214" s="1"/>
      <c r="G214" s="1"/>
      <c r="H214" s="2"/>
      <c r="X214" s="1"/>
    </row>
    <row r="215" spans="6:40" x14ac:dyDescent="0.55000000000000004">
      <c r="F215" s="1"/>
      <c r="G215" s="1"/>
      <c r="H215" s="2"/>
      <c r="X215" s="1"/>
    </row>
    <row r="216" spans="6:40" x14ac:dyDescent="0.55000000000000004">
      <c r="F216" s="1"/>
      <c r="G216" s="1"/>
      <c r="H216" s="2"/>
      <c r="X216" s="1"/>
    </row>
    <row r="217" spans="6:40" x14ac:dyDescent="0.55000000000000004">
      <c r="F217" s="1"/>
      <c r="G217" s="1"/>
      <c r="H217" s="2"/>
      <c r="X217" s="1"/>
    </row>
    <row r="218" spans="6:40" x14ac:dyDescent="0.55000000000000004">
      <c r="F218" s="1"/>
      <c r="G218" s="1"/>
      <c r="H218" s="2"/>
      <c r="X218" s="1"/>
    </row>
    <row r="219" spans="6:40" x14ac:dyDescent="0.55000000000000004">
      <c r="F219" s="1"/>
      <c r="G219" s="1"/>
      <c r="H219" s="2"/>
      <c r="X219" s="1"/>
    </row>
    <row r="220" spans="6:40" x14ac:dyDescent="0.55000000000000004">
      <c r="F220" s="1"/>
      <c r="G220" s="1"/>
      <c r="H220" s="2"/>
      <c r="X220" s="1"/>
    </row>
    <row r="221" spans="6:40" x14ac:dyDescent="0.55000000000000004">
      <c r="F221" s="1"/>
      <c r="G221" s="1"/>
      <c r="H221" s="2"/>
      <c r="X221" s="1"/>
    </row>
    <row r="222" spans="6:40" x14ac:dyDescent="0.55000000000000004">
      <c r="F222" s="1"/>
      <c r="G222" s="1"/>
      <c r="H222" s="2"/>
      <c r="X222" s="1"/>
    </row>
    <row r="223" spans="6:40" x14ac:dyDescent="0.55000000000000004">
      <c r="F223" s="1"/>
      <c r="G223" s="1"/>
      <c r="H223" s="2"/>
      <c r="X223" s="1"/>
    </row>
    <row r="224" spans="6:40" x14ac:dyDescent="0.55000000000000004">
      <c r="F224" s="1"/>
      <c r="G224" s="1"/>
      <c r="H224" s="2"/>
      <c r="X224" s="1"/>
    </row>
    <row r="225" spans="6:40" x14ac:dyDescent="0.55000000000000004">
      <c r="F225" s="1"/>
      <c r="G225" s="1"/>
      <c r="H225" s="2"/>
      <c r="X225" s="1"/>
    </row>
    <row r="226" spans="6:40" x14ac:dyDescent="0.55000000000000004">
      <c r="F226" s="1"/>
      <c r="G226" s="1"/>
      <c r="H226" s="2"/>
      <c r="X226" s="1"/>
    </row>
    <row r="227" spans="6:40" x14ac:dyDescent="0.55000000000000004">
      <c r="F227" s="1"/>
      <c r="G227" s="1"/>
      <c r="H227" s="2"/>
      <c r="X227" s="1"/>
    </row>
    <row r="228" spans="6:40" x14ac:dyDescent="0.55000000000000004">
      <c r="F228" s="1"/>
      <c r="G228" s="1"/>
      <c r="H228" s="2"/>
      <c r="X228" s="1"/>
    </row>
    <row r="229" spans="6:40" x14ac:dyDescent="0.55000000000000004">
      <c r="F229" s="1"/>
      <c r="G229" s="1"/>
      <c r="H229" s="2"/>
      <c r="X229" s="1"/>
    </row>
    <row r="230" spans="6:40" x14ac:dyDescent="0.55000000000000004">
      <c r="F230" s="1"/>
      <c r="G230" s="1"/>
      <c r="H230" s="2"/>
      <c r="X230" s="1"/>
    </row>
    <row r="231" spans="6:40" x14ac:dyDescent="0.55000000000000004">
      <c r="F231" s="1"/>
      <c r="G231" s="1"/>
      <c r="H231" s="2"/>
      <c r="X231" s="1"/>
    </row>
    <row r="232" spans="6:40" x14ac:dyDescent="0.55000000000000004">
      <c r="F232" s="1"/>
      <c r="G232" s="1"/>
      <c r="H232" s="2"/>
      <c r="X232" s="1"/>
    </row>
    <row r="233" spans="6:40" x14ac:dyDescent="0.55000000000000004">
      <c r="F233" s="1"/>
      <c r="G233" s="1"/>
      <c r="H233" s="2"/>
      <c r="X233" s="1"/>
    </row>
    <row r="234" spans="6:40" x14ac:dyDescent="0.55000000000000004">
      <c r="F234" s="1"/>
      <c r="G234" s="1"/>
      <c r="H234" s="2"/>
      <c r="X234" s="1"/>
    </row>
    <row r="235" spans="6:40" x14ac:dyDescent="0.55000000000000004">
      <c r="F235" s="1"/>
      <c r="G235" s="1"/>
      <c r="H235" s="2"/>
      <c r="X235" s="1"/>
    </row>
    <row r="236" spans="6:40" x14ac:dyDescent="0.55000000000000004">
      <c r="F236" s="1"/>
      <c r="G236" s="1"/>
      <c r="H236" s="2"/>
      <c r="X236" s="1"/>
    </row>
    <row r="237" spans="6:40" x14ac:dyDescent="0.55000000000000004">
      <c r="F237" s="1"/>
      <c r="G237" s="1"/>
      <c r="H237" s="2"/>
      <c r="X237" s="1"/>
    </row>
    <row r="238" spans="6:40" x14ac:dyDescent="0.55000000000000004">
      <c r="F238" s="1"/>
      <c r="G238" s="1"/>
      <c r="H238" s="2"/>
      <c r="X238" s="1"/>
      <c r="AF238" s="4"/>
      <c r="AN238" s="4"/>
    </row>
    <row r="239" spans="6:40" x14ac:dyDescent="0.55000000000000004">
      <c r="F239" s="1"/>
      <c r="G239" s="1"/>
      <c r="H239" s="2"/>
      <c r="X239" s="1"/>
    </row>
    <row r="240" spans="6:40" x14ac:dyDescent="0.55000000000000004">
      <c r="F240" s="1"/>
      <c r="G240" s="1"/>
      <c r="H240" s="2"/>
      <c r="X240" s="1"/>
    </row>
    <row r="241" spans="6:40" x14ac:dyDescent="0.55000000000000004">
      <c r="F241" s="1"/>
      <c r="G241" s="1"/>
      <c r="H241" s="2"/>
      <c r="X241" s="1"/>
    </row>
    <row r="242" spans="6:40" x14ac:dyDescent="0.55000000000000004">
      <c r="F242" s="1"/>
      <c r="G242" s="1"/>
      <c r="H242" s="2"/>
      <c r="X242" s="1"/>
    </row>
    <row r="243" spans="6:40" x14ac:dyDescent="0.55000000000000004">
      <c r="F243" s="1"/>
      <c r="G243" s="1"/>
      <c r="H243" s="2"/>
      <c r="X243" s="1"/>
      <c r="AF243" s="3"/>
      <c r="AN243" s="3"/>
    </row>
    <row r="244" spans="6:40" x14ac:dyDescent="0.55000000000000004">
      <c r="F244" s="1"/>
      <c r="G244" s="1"/>
      <c r="H244" s="2"/>
      <c r="X244" s="1"/>
      <c r="AF244" s="3"/>
      <c r="AN244" s="3"/>
    </row>
    <row r="245" spans="6:40" x14ac:dyDescent="0.55000000000000004">
      <c r="F245" s="1"/>
      <c r="G245" s="1"/>
      <c r="H245" s="2"/>
      <c r="X245" s="1"/>
    </row>
    <row r="246" spans="6:40" x14ac:dyDescent="0.55000000000000004">
      <c r="F246" s="1"/>
      <c r="G246" s="1"/>
      <c r="H246" s="2"/>
      <c r="X246" s="1"/>
    </row>
    <row r="247" spans="6:40" x14ac:dyDescent="0.55000000000000004">
      <c r="F247" s="1"/>
      <c r="G247" s="1"/>
      <c r="H247" s="2"/>
      <c r="X247" s="1"/>
    </row>
    <row r="248" spans="6:40" x14ac:dyDescent="0.55000000000000004">
      <c r="F248" s="1"/>
      <c r="G248" s="1"/>
      <c r="H248" s="2"/>
      <c r="X248" s="1"/>
    </row>
    <row r="249" spans="6:40" x14ac:dyDescent="0.55000000000000004">
      <c r="F249" s="1"/>
      <c r="H249" s="2"/>
    </row>
    <row r="250" spans="6:40" x14ac:dyDescent="0.55000000000000004">
      <c r="F250" s="1"/>
      <c r="G250" s="1"/>
      <c r="H250" s="2"/>
      <c r="X250" s="1"/>
    </row>
    <row r="251" spans="6:40" x14ac:dyDescent="0.55000000000000004">
      <c r="F251" s="1"/>
      <c r="G251" s="1"/>
      <c r="H251" s="2"/>
      <c r="X251" s="1"/>
    </row>
    <row r="252" spans="6:40" x14ac:dyDescent="0.55000000000000004">
      <c r="F252" s="1"/>
      <c r="G252" s="1"/>
      <c r="H252" s="2"/>
      <c r="X252" s="1"/>
    </row>
    <row r="253" spans="6:40" x14ac:dyDescent="0.55000000000000004">
      <c r="F253" s="1"/>
      <c r="G253" s="1"/>
      <c r="H253" s="2"/>
      <c r="X253" s="1"/>
    </row>
    <row r="254" spans="6:40" x14ac:dyDescent="0.55000000000000004">
      <c r="F254" s="1"/>
      <c r="G254" s="1"/>
      <c r="H254" s="2"/>
      <c r="X254" s="1"/>
    </row>
    <row r="255" spans="6:40" x14ac:dyDescent="0.55000000000000004">
      <c r="F255" s="1"/>
      <c r="G255" s="1"/>
      <c r="H255" s="2"/>
      <c r="X255" s="1"/>
    </row>
    <row r="256" spans="6:40" x14ac:dyDescent="0.55000000000000004">
      <c r="F256" s="1"/>
      <c r="G256" s="1"/>
      <c r="H256" s="2"/>
      <c r="X256" s="1"/>
    </row>
    <row r="257" spans="6:24" x14ac:dyDescent="0.55000000000000004">
      <c r="F257" s="1"/>
      <c r="G257" s="1"/>
      <c r="H257" s="2"/>
      <c r="X257" s="1"/>
    </row>
    <row r="258" spans="6:24" x14ac:dyDescent="0.55000000000000004">
      <c r="F258" s="1"/>
      <c r="G258" s="1"/>
      <c r="H258" s="2"/>
      <c r="X258" s="1"/>
    </row>
    <row r="259" spans="6:24" x14ac:dyDescent="0.55000000000000004">
      <c r="F259" s="1"/>
      <c r="G259" s="1"/>
      <c r="H259" s="2"/>
      <c r="X259" s="1"/>
    </row>
    <row r="260" spans="6:24" x14ac:dyDescent="0.55000000000000004">
      <c r="F260" s="1"/>
      <c r="G260" s="1"/>
      <c r="H260" s="2"/>
      <c r="X260" s="1"/>
    </row>
    <row r="261" spans="6:24" x14ac:dyDescent="0.55000000000000004">
      <c r="F261" s="1"/>
      <c r="G261" s="1"/>
      <c r="H261" s="2"/>
      <c r="X261" s="1"/>
    </row>
    <row r="262" spans="6:24" x14ac:dyDescent="0.55000000000000004">
      <c r="F262" s="1"/>
      <c r="G262" s="1"/>
      <c r="H262" s="2"/>
      <c r="X262" s="1"/>
    </row>
    <row r="263" spans="6:24" x14ac:dyDescent="0.55000000000000004">
      <c r="F263" s="1"/>
      <c r="G263" s="1"/>
      <c r="H263" s="2"/>
      <c r="X263" s="1"/>
    </row>
    <row r="264" spans="6:24" x14ac:dyDescent="0.55000000000000004">
      <c r="F264" s="1"/>
      <c r="G264" s="1"/>
      <c r="H264" s="2"/>
      <c r="X264" s="1"/>
    </row>
    <row r="265" spans="6:24" x14ac:dyDescent="0.55000000000000004">
      <c r="F265" s="1"/>
      <c r="G265" s="1"/>
      <c r="H265" s="2"/>
      <c r="X265" s="1"/>
    </row>
    <row r="266" spans="6:24" x14ac:dyDescent="0.55000000000000004">
      <c r="F266" s="1"/>
      <c r="G266" s="1"/>
      <c r="H266" s="2"/>
      <c r="X266" s="1"/>
    </row>
    <row r="267" spans="6:24" x14ac:dyDescent="0.55000000000000004">
      <c r="F267" s="1"/>
      <c r="G267" s="1"/>
      <c r="H267" s="2"/>
      <c r="X267" s="1"/>
    </row>
    <row r="268" spans="6:24" x14ac:dyDescent="0.55000000000000004">
      <c r="F268" s="1"/>
      <c r="G268" s="1"/>
      <c r="H268" s="2"/>
      <c r="X268" s="1"/>
    </row>
    <row r="269" spans="6:24" x14ac:dyDescent="0.55000000000000004">
      <c r="F269" s="1"/>
      <c r="G269" s="1"/>
      <c r="H269" s="2"/>
      <c r="X269" s="1"/>
    </row>
    <row r="270" spans="6:24" x14ac:dyDescent="0.55000000000000004">
      <c r="F270" s="1"/>
      <c r="G270" s="1"/>
      <c r="H270" s="2"/>
      <c r="X270" s="1"/>
    </row>
    <row r="271" spans="6:24" x14ac:dyDescent="0.55000000000000004">
      <c r="F271" s="1"/>
      <c r="G271" s="1"/>
      <c r="H271" s="2"/>
      <c r="X271" s="1"/>
    </row>
    <row r="272" spans="6:24" x14ac:dyDescent="0.55000000000000004">
      <c r="F272" s="1"/>
      <c r="G272" s="1"/>
      <c r="H272" s="2"/>
      <c r="X272" s="1"/>
    </row>
    <row r="273" spans="6:40" x14ac:dyDescent="0.55000000000000004">
      <c r="F273" s="1"/>
      <c r="G273" s="1"/>
      <c r="H273" s="2"/>
      <c r="X273" s="1"/>
    </row>
    <row r="274" spans="6:40" x14ac:dyDescent="0.55000000000000004">
      <c r="F274" s="1"/>
      <c r="G274" s="1"/>
      <c r="H274" s="2"/>
      <c r="X274" s="1"/>
      <c r="AF274" s="4"/>
      <c r="AN274" s="4"/>
    </row>
    <row r="275" spans="6:40" x14ac:dyDescent="0.55000000000000004">
      <c r="F275" s="1"/>
      <c r="G275" s="1"/>
      <c r="H275" s="2"/>
      <c r="X275" s="1"/>
    </row>
    <row r="276" spans="6:40" x14ac:dyDescent="0.55000000000000004">
      <c r="F276" s="1"/>
      <c r="G276" s="1"/>
      <c r="H276" s="2"/>
      <c r="X276" s="1"/>
    </row>
    <row r="277" spans="6:40" x14ac:dyDescent="0.55000000000000004">
      <c r="F277" s="1"/>
      <c r="G277" s="1"/>
      <c r="H277" s="2"/>
      <c r="X277" s="1"/>
    </row>
    <row r="278" spans="6:40" x14ac:dyDescent="0.55000000000000004">
      <c r="F278" s="1"/>
      <c r="G278" s="1"/>
      <c r="H278" s="2"/>
      <c r="X278" s="1"/>
    </row>
    <row r="279" spans="6:40" x14ac:dyDescent="0.55000000000000004">
      <c r="F279" s="1"/>
      <c r="G279" s="1"/>
      <c r="H279" s="2"/>
      <c r="X279" s="1"/>
    </row>
    <row r="280" spans="6:40" x14ac:dyDescent="0.55000000000000004">
      <c r="F280" s="1"/>
      <c r="G280" s="1"/>
      <c r="H280" s="2"/>
      <c r="X280" s="1"/>
      <c r="AF280" s="3"/>
      <c r="AN280" s="3"/>
    </row>
    <row r="281" spans="6:40" x14ac:dyDescent="0.55000000000000004">
      <c r="F281" s="1"/>
      <c r="G281" s="1"/>
      <c r="H281" s="2"/>
      <c r="X281" s="1"/>
    </row>
    <row r="282" spans="6:40" x14ac:dyDescent="0.55000000000000004">
      <c r="F282" s="1"/>
      <c r="G282" s="1"/>
      <c r="H282" s="2"/>
      <c r="X282" s="1"/>
    </row>
    <row r="283" spans="6:40" x14ac:dyDescent="0.55000000000000004">
      <c r="F283" s="1"/>
      <c r="G283" s="1"/>
      <c r="H283" s="2"/>
      <c r="X283" s="1"/>
      <c r="AF283" s="4"/>
      <c r="AN283" s="4"/>
    </row>
    <row r="284" spans="6:40" x14ac:dyDescent="0.55000000000000004">
      <c r="F284" s="1"/>
      <c r="G284" s="1"/>
      <c r="H284" s="2"/>
      <c r="X284" s="1"/>
    </row>
    <row r="285" spans="6:40" x14ac:dyDescent="0.55000000000000004">
      <c r="F285" s="1"/>
      <c r="G285" s="1"/>
      <c r="H285" s="2"/>
      <c r="X285" s="1"/>
    </row>
    <row r="286" spans="6:40" x14ac:dyDescent="0.55000000000000004">
      <c r="F286" s="1"/>
      <c r="G286" s="1"/>
      <c r="H286" s="2"/>
      <c r="X286" s="1"/>
      <c r="AF286" s="4"/>
      <c r="AN286" s="4"/>
    </row>
    <row r="287" spans="6:40" x14ac:dyDescent="0.55000000000000004">
      <c r="F287" s="1"/>
      <c r="G287" s="1"/>
      <c r="H287" s="2"/>
      <c r="X287" s="1"/>
    </row>
    <row r="288" spans="6:40" x14ac:dyDescent="0.55000000000000004">
      <c r="F288" s="1"/>
      <c r="G288" s="1"/>
      <c r="H288" s="2"/>
      <c r="X288" s="1"/>
    </row>
    <row r="289" spans="6:24" x14ac:dyDescent="0.55000000000000004">
      <c r="F289" s="1"/>
      <c r="G289" s="1"/>
      <c r="H289" s="2"/>
      <c r="X289" s="1"/>
    </row>
    <row r="290" spans="6:24" x14ac:dyDescent="0.55000000000000004">
      <c r="F290" s="1"/>
      <c r="G290" s="1"/>
      <c r="H290" s="2"/>
      <c r="X290" s="1"/>
    </row>
    <row r="291" spans="6:24" x14ac:dyDescent="0.55000000000000004">
      <c r="F291" s="1"/>
      <c r="G291" s="1"/>
      <c r="H291" s="2"/>
      <c r="X291" s="1"/>
    </row>
    <row r="292" spans="6:24" x14ac:dyDescent="0.55000000000000004">
      <c r="F292" s="1"/>
      <c r="G292" s="1"/>
      <c r="H292" s="2"/>
      <c r="X292" s="1"/>
    </row>
    <row r="293" spans="6:24" x14ac:dyDescent="0.55000000000000004">
      <c r="F293" s="1"/>
      <c r="G293" s="1"/>
      <c r="H293" s="2"/>
      <c r="X293" s="1"/>
    </row>
    <row r="294" spans="6:24" x14ac:dyDescent="0.55000000000000004">
      <c r="F294" s="1"/>
      <c r="G294" s="1"/>
      <c r="H294" s="2"/>
      <c r="X294" s="1"/>
    </row>
    <row r="295" spans="6:24" x14ac:dyDescent="0.55000000000000004">
      <c r="F295" s="1"/>
      <c r="G295" s="1"/>
      <c r="H295" s="2"/>
      <c r="X295" s="1"/>
    </row>
    <row r="296" spans="6:24" x14ac:dyDescent="0.55000000000000004">
      <c r="F296" s="1"/>
      <c r="G296" s="1"/>
      <c r="H296" s="2"/>
      <c r="X296" s="1"/>
    </row>
    <row r="297" spans="6:24" x14ac:dyDescent="0.55000000000000004">
      <c r="F297" s="1"/>
      <c r="G297" s="1"/>
      <c r="H297" s="2"/>
      <c r="X297" s="1"/>
    </row>
    <row r="298" spans="6:24" x14ac:dyDescent="0.55000000000000004">
      <c r="F298" s="1"/>
      <c r="G298" s="1"/>
      <c r="H298" s="2"/>
      <c r="X298" s="1"/>
    </row>
    <row r="299" spans="6:24" x14ac:dyDescent="0.55000000000000004">
      <c r="F299" s="1"/>
      <c r="G299" s="1"/>
      <c r="H299" s="2"/>
      <c r="X299" s="1"/>
    </row>
    <row r="300" spans="6:24" x14ac:dyDescent="0.55000000000000004">
      <c r="F300" s="1"/>
      <c r="G300" s="1"/>
      <c r="H300" s="2"/>
      <c r="X300" s="1"/>
    </row>
    <row r="301" spans="6:24" x14ac:dyDescent="0.55000000000000004">
      <c r="F301" s="1"/>
      <c r="G301" s="1"/>
      <c r="H301" s="2"/>
      <c r="X301" s="1"/>
    </row>
    <row r="302" spans="6:24" x14ac:dyDescent="0.55000000000000004">
      <c r="F302" s="1"/>
      <c r="G302" s="1"/>
      <c r="H302" s="2"/>
      <c r="X302" s="1"/>
    </row>
    <row r="303" spans="6:24" x14ac:dyDescent="0.55000000000000004">
      <c r="F303" s="1"/>
      <c r="G303" s="1"/>
      <c r="H303" s="2"/>
      <c r="X303" s="1"/>
    </row>
    <row r="304" spans="6:24" x14ac:dyDescent="0.55000000000000004">
      <c r="F304" s="1"/>
      <c r="G304" s="1"/>
      <c r="H304" s="2"/>
      <c r="X304" s="1"/>
    </row>
    <row r="305" spans="6:42" x14ac:dyDescent="0.55000000000000004">
      <c r="F305" s="1"/>
      <c r="G305" s="1"/>
      <c r="H305" s="2"/>
      <c r="X305" s="1"/>
    </row>
    <row r="306" spans="6:42" x14ac:dyDescent="0.55000000000000004">
      <c r="F306" s="1"/>
      <c r="G306" s="1"/>
      <c r="H306" s="2"/>
      <c r="X306" s="1"/>
    </row>
    <row r="307" spans="6:42" x14ac:dyDescent="0.55000000000000004">
      <c r="F307" s="1"/>
      <c r="G307" s="1"/>
      <c r="H307" s="2"/>
      <c r="X307" s="1"/>
    </row>
    <row r="308" spans="6:42" x14ac:dyDescent="0.55000000000000004">
      <c r="F308" s="1"/>
      <c r="G308" s="1"/>
      <c r="H308" s="2"/>
      <c r="X308" s="1"/>
    </row>
    <row r="309" spans="6:42" x14ac:dyDescent="0.55000000000000004">
      <c r="F309" s="1"/>
      <c r="G309" s="1"/>
      <c r="H309" s="2"/>
      <c r="X309" s="1"/>
    </row>
    <row r="310" spans="6:42" x14ac:dyDescent="0.55000000000000004">
      <c r="F310" s="1"/>
      <c r="G310" s="1"/>
      <c r="H310" s="2"/>
      <c r="X310" s="1"/>
    </row>
    <row r="311" spans="6:42" x14ac:dyDescent="0.55000000000000004">
      <c r="F311" s="1"/>
      <c r="G311" s="1"/>
      <c r="H311" s="2"/>
      <c r="X311" s="1"/>
    </row>
    <row r="312" spans="6:42" x14ac:dyDescent="0.55000000000000004">
      <c r="F312" s="1"/>
      <c r="G312" s="1"/>
      <c r="H312" s="2"/>
      <c r="X312" s="1"/>
    </row>
    <row r="313" spans="6:42" x14ac:dyDescent="0.55000000000000004">
      <c r="F313" s="1"/>
      <c r="G313" s="1"/>
      <c r="H313" s="2"/>
      <c r="X313" s="1"/>
      <c r="AF313" s="4"/>
      <c r="AN313" s="4"/>
    </row>
    <row r="314" spans="6:42" x14ac:dyDescent="0.55000000000000004">
      <c r="F314" s="1"/>
      <c r="G314" s="1"/>
      <c r="H314" s="2"/>
      <c r="X314" s="1"/>
      <c r="AF314" s="5"/>
      <c r="AN314" s="5"/>
    </row>
    <row r="315" spans="6:42" x14ac:dyDescent="0.55000000000000004">
      <c r="F315" s="1"/>
      <c r="G315" s="1"/>
      <c r="H315" s="2"/>
      <c r="X315" s="1"/>
    </row>
    <row r="316" spans="6:42" x14ac:dyDescent="0.55000000000000004">
      <c r="F316" s="1"/>
      <c r="G316" s="1"/>
      <c r="H316" s="2"/>
      <c r="X316" s="1"/>
    </row>
    <row r="317" spans="6:42" x14ac:dyDescent="0.55000000000000004">
      <c r="F317" s="1"/>
      <c r="G317" s="1"/>
      <c r="H317" s="2"/>
      <c r="X317" s="1"/>
    </row>
    <row r="318" spans="6:42" x14ac:dyDescent="0.55000000000000004">
      <c r="F318" s="1"/>
      <c r="G318" s="1"/>
      <c r="H318" s="2"/>
      <c r="X318" s="1"/>
    </row>
    <row r="319" spans="6:42" x14ac:dyDescent="0.55000000000000004">
      <c r="F319" s="1"/>
      <c r="G319" s="1"/>
      <c r="H319" s="2"/>
      <c r="X319" s="1"/>
      <c r="AP319" s="2"/>
    </row>
    <row r="320" spans="6:42" x14ac:dyDescent="0.55000000000000004">
      <c r="F320" s="1"/>
      <c r="G320" s="1"/>
      <c r="H320" s="2"/>
      <c r="X320" s="1"/>
    </row>
    <row r="321" spans="6:42" x14ac:dyDescent="0.55000000000000004">
      <c r="F321" s="1"/>
      <c r="G321" s="1"/>
      <c r="H321" s="2"/>
      <c r="X321" s="1"/>
    </row>
    <row r="322" spans="6:42" x14ac:dyDescent="0.55000000000000004">
      <c r="F322" s="1"/>
      <c r="G322" s="1"/>
      <c r="H322" s="2"/>
      <c r="X322" s="1"/>
    </row>
    <row r="323" spans="6:42" x14ac:dyDescent="0.55000000000000004">
      <c r="F323" s="1"/>
      <c r="G323" s="1"/>
      <c r="H323" s="2"/>
      <c r="X323" s="1"/>
    </row>
    <row r="324" spans="6:42" x14ac:dyDescent="0.55000000000000004">
      <c r="F324" s="1"/>
      <c r="G324" s="1"/>
      <c r="H324" s="2"/>
      <c r="X324" s="1"/>
    </row>
    <row r="325" spans="6:42" x14ac:dyDescent="0.55000000000000004">
      <c r="F325" s="1"/>
      <c r="G325" s="1"/>
      <c r="H325" s="2"/>
      <c r="X325" s="1"/>
    </row>
    <row r="326" spans="6:42" x14ac:dyDescent="0.55000000000000004">
      <c r="F326" s="1"/>
      <c r="G326" s="1"/>
      <c r="H326" s="2"/>
      <c r="X326" s="1"/>
    </row>
    <row r="327" spans="6:42" x14ac:dyDescent="0.55000000000000004">
      <c r="F327" s="1"/>
      <c r="G327" s="1"/>
      <c r="H327" s="2"/>
      <c r="X327" s="1"/>
    </row>
    <row r="328" spans="6:42" x14ac:dyDescent="0.55000000000000004">
      <c r="F328" s="1"/>
      <c r="G328" s="1"/>
      <c r="H328" s="2"/>
      <c r="X328" s="1"/>
    </row>
    <row r="329" spans="6:42" x14ac:dyDescent="0.55000000000000004">
      <c r="F329" s="1"/>
      <c r="G329" s="1"/>
      <c r="H329" s="2"/>
      <c r="X329" s="1"/>
    </row>
    <row r="330" spans="6:42" x14ac:dyDescent="0.55000000000000004">
      <c r="F330" s="1"/>
      <c r="G330" s="1"/>
      <c r="H330" s="2"/>
      <c r="X330" s="1"/>
      <c r="AP330" s="2"/>
    </row>
    <row r="331" spans="6:42" x14ac:dyDescent="0.55000000000000004">
      <c r="F331" s="1"/>
      <c r="G331" s="1"/>
      <c r="H331" s="2"/>
      <c r="X331" s="1"/>
    </row>
    <row r="332" spans="6:42" x14ac:dyDescent="0.55000000000000004">
      <c r="F332" s="1"/>
      <c r="G332" s="1"/>
      <c r="H332" s="2"/>
      <c r="X332" s="1"/>
    </row>
    <row r="333" spans="6:42" x14ac:dyDescent="0.55000000000000004">
      <c r="F333" s="1"/>
      <c r="G333" s="1"/>
      <c r="H333" s="2"/>
      <c r="X333" s="1"/>
    </row>
    <row r="334" spans="6:42" x14ac:dyDescent="0.55000000000000004">
      <c r="F334" s="1"/>
      <c r="G334" s="1"/>
      <c r="H334" s="2"/>
      <c r="X334" s="1"/>
      <c r="AF334" s="3"/>
      <c r="AN334" s="3"/>
    </row>
    <row r="335" spans="6:42" x14ac:dyDescent="0.55000000000000004">
      <c r="F335" s="1"/>
      <c r="G335" s="1"/>
      <c r="H335" s="2"/>
      <c r="X335" s="1"/>
    </row>
    <row r="336" spans="6:42" x14ac:dyDescent="0.55000000000000004">
      <c r="F336" s="1"/>
      <c r="G336" s="1"/>
      <c r="H336" s="2"/>
      <c r="X336" s="1"/>
    </row>
    <row r="337" spans="6:40" x14ac:dyDescent="0.55000000000000004">
      <c r="F337" s="1"/>
      <c r="G337" s="1"/>
      <c r="H337" s="2"/>
      <c r="X337" s="1"/>
    </row>
    <row r="338" spans="6:40" x14ac:dyDescent="0.55000000000000004">
      <c r="F338" s="1"/>
      <c r="G338" s="1"/>
      <c r="H338" s="2"/>
      <c r="X338" s="1"/>
    </row>
    <row r="339" spans="6:40" x14ac:dyDescent="0.55000000000000004">
      <c r="F339" s="1"/>
      <c r="G339" s="1"/>
      <c r="H339" s="2"/>
      <c r="X339" s="1"/>
    </row>
    <row r="340" spans="6:40" x14ac:dyDescent="0.55000000000000004">
      <c r="F340" s="1"/>
      <c r="G340" s="1"/>
      <c r="H340" s="2"/>
      <c r="X340" s="1"/>
    </row>
    <row r="341" spans="6:40" x14ac:dyDescent="0.55000000000000004">
      <c r="F341" s="1"/>
      <c r="G341" s="1"/>
      <c r="H341" s="2"/>
      <c r="X341" s="1"/>
    </row>
    <row r="342" spans="6:40" x14ac:dyDescent="0.55000000000000004">
      <c r="F342" s="1"/>
      <c r="G342" s="1"/>
      <c r="H342" s="2"/>
      <c r="X342" s="1"/>
    </row>
    <row r="343" spans="6:40" x14ac:dyDescent="0.55000000000000004">
      <c r="F343" s="1"/>
      <c r="G343" s="1"/>
      <c r="H343" s="2"/>
      <c r="X343" s="1"/>
      <c r="AF343" s="4"/>
      <c r="AN343" s="4"/>
    </row>
    <row r="344" spans="6:40" x14ac:dyDescent="0.55000000000000004">
      <c r="F344" s="1"/>
      <c r="G344" s="1"/>
      <c r="H344" s="2"/>
      <c r="X344" s="1"/>
    </row>
    <row r="345" spans="6:40" x14ac:dyDescent="0.55000000000000004">
      <c r="F345" s="1"/>
      <c r="G345" s="1"/>
      <c r="H345" s="2"/>
      <c r="X345" s="1"/>
    </row>
    <row r="346" spans="6:40" x14ac:dyDescent="0.55000000000000004">
      <c r="F346" s="1"/>
      <c r="G346" s="1"/>
      <c r="H346" s="2"/>
      <c r="X346" s="1"/>
    </row>
    <row r="347" spans="6:40" x14ac:dyDescent="0.55000000000000004">
      <c r="F347" s="1"/>
      <c r="G347" s="1"/>
      <c r="H347" s="2"/>
      <c r="X347" s="1"/>
    </row>
    <row r="348" spans="6:40" x14ac:dyDescent="0.55000000000000004">
      <c r="F348" s="1"/>
      <c r="G348" s="1"/>
      <c r="H348" s="2"/>
      <c r="X348" s="1"/>
    </row>
    <row r="349" spans="6:40" x14ac:dyDescent="0.55000000000000004">
      <c r="F349" s="1"/>
      <c r="G349" s="1"/>
      <c r="H349" s="2"/>
      <c r="X349" s="1"/>
    </row>
    <row r="350" spans="6:40" x14ac:dyDescent="0.55000000000000004">
      <c r="F350" s="1"/>
      <c r="G350" s="1"/>
      <c r="H350" s="2"/>
      <c r="X350" s="1"/>
    </row>
    <row r="351" spans="6:40" x14ac:dyDescent="0.55000000000000004">
      <c r="F351" s="1"/>
      <c r="G351" s="1"/>
      <c r="H351" s="2"/>
      <c r="X351" s="1"/>
    </row>
    <row r="352" spans="6:40" x14ac:dyDescent="0.55000000000000004">
      <c r="F352" s="1"/>
      <c r="G352" s="1"/>
      <c r="H352" s="2"/>
      <c r="X352" s="1"/>
    </row>
    <row r="353" spans="6:24" x14ac:dyDescent="0.55000000000000004">
      <c r="F353" s="1"/>
      <c r="G353" s="1"/>
      <c r="H353" s="2"/>
      <c r="X353" s="1"/>
    </row>
    <row r="354" spans="6:24" x14ac:dyDescent="0.55000000000000004">
      <c r="F354" s="1"/>
      <c r="G354" s="1"/>
      <c r="H354" s="2"/>
      <c r="X354" s="1"/>
    </row>
    <row r="355" spans="6:24" x14ac:dyDescent="0.55000000000000004">
      <c r="F355" s="1"/>
      <c r="G355" s="1"/>
      <c r="H355" s="2"/>
      <c r="X355" s="1"/>
    </row>
    <row r="356" spans="6:24" x14ac:dyDescent="0.55000000000000004">
      <c r="F356" s="1"/>
      <c r="G356" s="1"/>
      <c r="H356" s="2"/>
      <c r="X356" s="1"/>
    </row>
    <row r="357" spans="6:24" x14ac:dyDescent="0.55000000000000004">
      <c r="F357" s="1"/>
      <c r="G357" s="1"/>
      <c r="H357" s="2"/>
      <c r="X357" s="1"/>
    </row>
    <row r="358" spans="6:24" x14ac:dyDescent="0.55000000000000004">
      <c r="F358" s="1"/>
      <c r="G358" s="1"/>
      <c r="H358" s="2"/>
      <c r="X358" s="1"/>
    </row>
    <row r="359" spans="6:24" x14ac:dyDescent="0.55000000000000004">
      <c r="F359" s="1"/>
      <c r="G359" s="1"/>
      <c r="H359" s="2"/>
      <c r="X359" s="1"/>
    </row>
    <row r="360" spans="6:24" x14ac:dyDescent="0.55000000000000004">
      <c r="F360" s="1"/>
      <c r="G360" s="1"/>
      <c r="H360" s="2"/>
      <c r="X360" s="1"/>
    </row>
    <row r="361" spans="6:24" x14ac:dyDescent="0.55000000000000004">
      <c r="F361" s="1"/>
      <c r="G361" s="1"/>
      <c r="H361" s="2"/>
      <c r="X361" s="1"/>
    </row>
    <row r="362" spans="6:24" x14ac:dyDescent="0.55000000000000004">
      <c r="F362" s="1"/>
      <c r="G362" s="1"/>
      <c r="H362" s="2"/>
      <c r="X362" s="1"/>
    </row>
    <row r="363" spans="6:24" x14ac:dyDescent="0.55000000000000004">
      <c r="F363" s="1"/>
      <c r="G363" s="1"/>
      <c r="H363" s="2"/>
      <c r="X363" s="1"/>
    </row>
    <row r="364" spans="6:24" x14ac:dyDescent="0.55000000000000004">
      <c r="F364" s="1"/>
      <c r="G364" s="1"/>
      <c r="H364" s="2"/>
      <c r="X364" s="1"/>
    </row>
    <row r="365" spans="6:24" x14ac:dyDescent="0.55000000000000004">
      <c r="F365" s="1"/>
      <c r="G365" s="1"/>
      <c r="H365" s="2"/>
      <c r="X365" s="1"/>
    </row>
    <row r="366" spans="6:24" x14ac:dyDescent="0.55000000000000004">
      <c r="F366" s="1"/>
      <c r="G366" s="1"/>
      <c r="H366" s="2"/>
      <c r="X366" s="1"/>
    </row>
    <row r="367" spans="6:24" x14ac:dyDescent="0.55000000000000004">
      <c r="F367" s="1"/>
      <c r="G367" s="1"/>
      <c r="H367" s="2"/>
      <c r="X367" s="1"/>
    </row>
    <row r="368" spans="6:24" x14ac:dyDescent="0.55000000000000004">
      <c r="F368" s="1"/>
      <c r="G368" s="1"/>
      <c r="H368" s="2"/>
      <c r="X368" s="1"/>
    </row>
    <row r="369" spans="6:40" x14ac:dyDescent="0.55000000000000004">
      <c r="F369" s="1"/>
      <c r="G369" s="1"/>
      <c r="H369" s="2"/>
      <c r="X369" s="1"/>
      <c r="AF369" s="4"/>
      <c r="AN369" s="4"/>
    </row>
    <row r="370" spans="6:40" x14ac:dyDescent="0.55000000000000004">
      <c r="F370" s="1"/>
      <c r="G370" s="1"/>
      <c r="H370" s="2"/>
      <c r="X370" s="1"/>
    </row>
    <row r="371" spans="6:40" x14ac:dyDescent="0.55000000000000004">
      <c r="F371" s="1"/>
      <c r="G371" s="1"/>
      <c r="H371" s="2"/>
      <c r="X371" s="1"/>
    </row>
    <row r="372" spans="6:40" x14ac:dyDescent="0.55000000000000004">
      <c r="F372" s="1"/>
      <c r="G372" s="1"/>
      <c r="H372" s="2"/>
      <c r="X372" s="1"/>
    </row>
    <row r="373" spans="6:40" x14ac:dyDescent="0.55000000000000004">
      <c r="F373" s="1"/>
      <c r="G373" s="1"/>
      <c r="H373" s="2"/>
      <c r="X373" s="1"/>
    </row>
    <row r="374" spans="6:40" x14ac:dyDescent="0.55000000000000004">
      <c r="F374" s="1"/>
      <c r="G374" s="1"/>
      <c r="H374" s="2"/>
      <c r="X374" s="1"/>
    </row>
    <row r="375" spans="6:40" x14ac:dyDescent="0.55000000000000004">
      <c r="F375" s="1"/>
      <c r="G375" s="1"/>
      <c r="H375" s="2"/>
      <c r="X375" s="1"/>
    </row>
    <row r="376" spans="6:40" x14ac:dyDescent="0.55000000000000004">
      <c r="F376" s="1"/>
      <c r="G376" s="1"/>
      <c r="H376" s="2"/>
      <c r="X376" s="1"/>
    </row>
    <row r="377" spans="6:40" x14ac:dyDescent="0.55000000000000004">
      <c r="F377" s="1"/>
      <c r="G377" s="1"/>
      <c r="H377" s="2"/>
      <c r="X377" s="1"/>
    </row>
    <row r="378" spans="6:40" x14ac:dyDescent="0.55000000000000004">
      <c r="F378" s="1"/>
      <c r="G378" s="1"/>
      <c r="H378" s="2"/>
      <c r="X378" s="1"/>
    </row>
    <row r="379" spans="6:40" x14ac:dyDescent="0.55000000000000004">
      <c r="F379" s="1"/>
      <c r="G379" s="1"/>
      <c r="H379" s="2"/>
      <c r="X379" s="1"/>
      <c r="AF379" s="4"/>
      <c r="AN379" s="4"/>
    </row>
    <row r="380" spans="6:40" x14ac:dyDescent="0.55000000000000004">
      <c r="F380" s="1"/>
      <c r="G380" s="1"/>
      <c r="H380" s="2"/>
      <c r="X380" s="1"/>
    </row>
    <row r="381" spans="6:40" x14ac:dyDescent="0.55000000000000004">
      <c r="F381" s="1"/>
      <c r="G381" s="1"/>
      <c r="H381" s="2"/>
      <c r="X381" s="1"/>
    </row>
    <row r="382" spans="6:40" x14ac:dyDescent="0.55000000000000004">
      <c r="F382" s="1"/>
      <c r="G382" s="1"/>
      <c r="H382" s="2"/>
      <c r="X382" s="1"/>
    </row>
    <row r="383" spans="6:40" x14ac:dyDescent="0.55000000000000004">
      <c r="F383" s="1"/>
      <c r="G383" s="1"/>
      <c r="H383" s="2"/>
      <c r="X383" s="1"/>
    </row>
    <row r="384" spans="6:40" x14ac:dyDescent="0.55000000000000004">
      <c r="F384" s="1"/>
      <c r="G384" s="1"/>
      <c r="H384" s="2"/>
      <c r="X384" s="1"/>
    </row>
    <row r="385" spans="6:40" x14ac:dyDescent="0.55000000000000004">
      <c r="F385" s="1"/>
      <c r="G385" s="1"/>
      <c r="H385" s="2"/>
      <c r="X385" s="1"/>
    </row>
    <row r="386" spans="6:40" x14ac:dyDescent="0.55000000000000004">
      <c r="F386" s="1"/>
      <c r="G386" s="1"/>
      <c r="H386" s="2"/>
      <c r="X386" s="1"/>
    </row>
    <row r="387" spans="6:40" x14ac:dyDescent="0.55000000000000004">
      <c r="F387" s="1"/>
      <c r="G387" s="1"/>
      <c r="H387" s="2"/>
      <c r="X387" s="1"/>
    </row>
    <row r="388" spans="6:40" x14ac:dyDescent="0.55000000000000004">
      <c r="F388" s="1"/>
      <c r="G388" s="1"/>
      <c r="H388" s="2"/>
      <c r="X388" s="1"/>
    </row>
    <row r="389" spans="6:40" x14ac:dyDescent="0.55000000000000004">
      <c r="F389" s="1"/>
      <c r="G389" s="1"/>
      <c r="H389" s="2"/>
      <c r="X389" s="1"/>
    </row>
    <row r="390" spans="6:40" x14ac:dyDescent="0.55000000000000004">
      <c r="F390" s="1"/>
      <c r="G390" s="1"/>
      <c r="H390" s="2"/>
      <c r="X390" s="1"/>
    </row>
    <row r="391" spans="6:40" x14ac:dyDescent="0.55000000000000004">
      <c r="F391" s="1"/>
      <c r="G391" s="1"/>
      <c r="H391" s="2"/>
      <c r="X391" s="1"/>
      <c r="AF391" s="3"/>
      <c r="AN391" s="3"/>
    </row>
    <row r="392" spans="6:40" x14ac:dyDescent="0.55000000000000004">
      <c r="F392" s="1"/>
      <c r="G392" s="1"/>
      <c r="H392" s="2"/>
      <c r="X392" s="1"/>
    </row>
    <row r="393" spans="6:40" x14ac:dyDescent="0.55000000000000004">
      <c r="F393" s="1"/>
      <c r="G393" s="1"/>
      <c r="H393" s="2"/>
      <c r="X393" s="1"/>
    </row>
    <row r="394" spans="6:40" x14ac:dyDescent="0.55000000000000004">
      <c r="F394" s="1"/>
      <c r="G394" s="1"/>
      <c r="H394" s="2"/>
      <c r="X394" s="1"/>
    </row>
    <row r="395" spans="6:40" x14ac:dyDescent="0.55000000000000004">
      <c r="F395" s="1"/>
      <c r="G395" s="1"/>
      <c r="H395" s="2"/>
      <c r="X395" s="1"/>
    </row>
    <row r="396" spans="6:40" x14ac:dyDescent="0.55000000000000004">
      <c r="F396" s="1"/>
      <c r="G396" s="1"/>
      <c r="H396" s="2"/>
      <c r="X396" s="1"/>
    </row>
    <row r="397" spans="6:40" x14ac:dyDescent="0.55000000000000004">
      <c r="F397" s="1"/>
      <c r="G397" s="1"/>
      <c r="H397" s="2"/>
      <c r="X397" s="1"/>
    </row>
    <row r="398" spans="6:40" x14ac:dyDescent="0.55000000000000004">
      <c r="F398" s="1"/>
      <c r="G398" s="1"/>
      <c r="H398" s="2"/>
      <c r="X398" s="1"/>
      <c r="AF398" s="4"/>
      <c r="AN398" s="4"/>
    </row>
    <row r="399" spans="6:40" x14ac:dyDescent="0.55000000000000004">
      <c r="F399" s="1"/>
      <c r="G399" s="1"/>
      <c r="H399" s="2"/>
      <c r="X399" s="1"/>
    </row>
    <row r="400" spans="6:40" x14ac:dyDescent="0.55000000000000004">
      <c r="F400" s="1"/>
      <c r="G400" s="1"/>
      <c r="H400" s="2"/>
      <c r="X400" s="1"/>
    </row>
    <row r="401" spans="6:40" x14ac:dyDescent="0.55000000000000004">
      <c r="F401" s="1"/>
      <c r="G401" s="1"/>
      <c r="H401" s="2"/>
      <c r="X401" s="1"/>
    </row>
    <row r="402" spans="6:40" x14ac:dyDescent="0.55000000000000004">
      <c r="F402" s="1"/>
      <c r="G402" s="1"/>
      <c r="H402" s="2"/>
      <c r="X402" s="1"/>
    </row>
    <row r="403" spans="6:40" x14ac:dyDescent="0.55000000000000004">
      <c r="F403" s="1"/>
      <c r="G403" s="1"/>
      <c r="H403" s="2"/>
      <c r="X403" s="1"/>
    </row>
    <row r="404" spans="6:40" x14ac:dyDescent="0.55000000000000004">
      <c r="F404" s="1"/>
      <c r="G404" s="1"/>
      <c r="H404" s="2"/>
      <c r="X404" s="1"/>
    </row>
    <row r="405" spans="6:40" x14ac:dyDescent="0.55000000000000004">
      <c r="F405" s="1"/>
      <c r="G405" s="1"/>
      <c r="H405" s="2"/>
      <c r="X405" s="1"/>
    </row>
    <row r="406" spans="6:40" x14ac:dyDescent="0.55000000000000004">
      <c r="F406" s="1"/>
      <c r="G406" s="1"/>
      <c r="H406" s="2"/>
      <c r="X406" s="1"/>
      <c r="AF406" s="4"/>
      <c r="AN406" s="4"/>
    </row>
    <row r="407" spans="6:40" x14ac:dyDescent="0.55000000000000004">
      <c r="F407" s="1"/>
      <c r="G407" s="1"/>
      <c r="H407" s="2"/>
      <c r="X407" s="1"/>
    </row>
    <row r="408" spans="6:40" x14ac:dyDescent="0.55000000000000004">
      <c r="F408" s="1"/>
      <c r="G408" s="1"/>
      <c r="H408" s="2"/>
      <c r="X408" s="1"/>
    </row>
    <row r="409" spans="6:40" x14ac:dyDescent="0.55000000000000004">
      <c r="F409" s="1"/>
      <c r="G409" s="1"/>
      <c r="H409" s="2"/>
      <c r="X409" s="1"/>
    </row>
    <row r="410" spans="6:40" x14ac:dyDescent="0.55000000000000004">
      <c r="F410" s="1"/>
      <c r="G410" s="1"/>
      <c r="H410" s="2"/>
      <c r="X410" s="1"/>
    </row>
    <row r="411" spans="6:40" x14ac:dyDescent="0.55000000000000004">
      <c r="F411" s="1"/>
      <c r="G411" s="1"/>
      <c r="H411" s="2"/>
      <c r="X411" s="1"/>
    </row>
    <row r="412" spans="6:40" x14ac:dyDescent="0.55000000000000004">
      <c r="F412" s="1"/>
      <c r="G412" s="1"/>
      <c r="H412" s="2"/>
      <c r="X412" s="1"/>
    </row>
    <row r="413" spans="6:40" x14ac:dyDescent="0.55000000000000004">
      <c r="F413" s="1"/>
      <c r="G413" s="1"/>
      <c r="H413" s="2"/>
      <c r="X413" s="1"/>
    </row>
    <row r="414" spans="6:40" x14ac:dyDescent="0.55000000000000004">
      <c r="F414" s="1"/>
      <c r="G414" s="1"/>
      <c r="H414" s="2"/>
      <c r="X414" s="1"/>
    </row>
    <row r="415" spans="6:40" x14ac:dyDescent="0.55000000000000004">
      <c r="F415" s="1"/>
      <c r="G415" s="1"/>
      <c r="H415" s="2"/>
      <c r="X415" s="1"/>
    </row>
    <row r="416" spans="6:40" x14ac:dyDescent="0.55000000000000004">
      <c r="F416" s="1"/>
      <c r="G416" s="1"/>
      <c r="H416" s="2"/>
      <c r="X416" s="1"/>
    </row>
    <row r="417" spans="6:40" x14ac:dyDescent="0.55000000000000004">
      <c r="F417" s="1"/>
      <c r="G417" s="1"/>
      <c r="H417" s="2"/>
      <c r="X417" s="1"/>
    </row>
    <row r="418" spans="6:40" x14ac:dyDescent="0.55000000000000004">
      <c r="F418" s="1"/>
      <c r="G418" s="1"/>
      <c r="H418" s="2"/>
      <c r="X418" s="1"/>
    </row>
    <row r="419" spans="6:40" x14ac:dyDescent="0.55000000000000004">
      <c r="F419" s="1"/>
      <c r="G419" s="1"/>
      <c r="H419" s="2"/>
      <c r="X419" s="1"/>
    </row>
    <row r="420" spans="6:40" x14ac:dyDescent="0.55000000000000004">
      <c r="F420" s="1"/>
      <c r="G420" s="1"/>
      <c r="H420" s="2"/>
      <c r="X420" s="1"/>
      <c r="AF420" s="5"/>
      <c r="AN420" s="5"/>
    </row>
    <row r="421" spans="6:40" x14ac:dyDescent="0.55000000000000004">
      <c r="F421" s="1"/>
      <c r="G421" s="1"/>
      <c r="H421" s="2"/>
      <c r="X421" s="1"/>
    </row>
    <row r="422" spans="6:40" x14ac:dyDescent="0.55000000000000004">
      <c r="F422" s="1"/>
      <c r="G422" s="1"/>
      <c r="H422" s="2"/>
      <c r="X422" s="1"/>
    </row>
    <row r="423" spans="6:40" x14ac:dyDescent="0.55000000000000004">
      <c r="F423" s="1"/>
      <c r="G423" s="1"/>
      <c r="H423" s="2"/>
      <c r="X423" s="1"/>
    </row>
    <row r="424" spans="6:40" x14ac:dyDescent="0.55000000000000004">
      <c r="F424" s="1"/>
      <c r="G424" s="1"/>
      <c r="H424" s="2"/>
      <c r="X424" s="1"/>
      <c r="AF424" s="4"/>
      <c r="AN424" s="4"/>
    </row>
    <row r="425" spans="6:40" x14ac:dyDescent="0.55000000000000004">
      <c r="F425" s="1"/>
      <c r="G425" s="1"/>
      <c r="H425" s="2"/>
      <c r="X425" s="1"/>
    </row>
    <row r="426" spans="6:40" x14ac:dyDescent="0.55000000000000004">
      <c r="F426" s="1"/>
      <c r="G426" s="1"/>
      <c r="H426" s="2"/>
      <c r="X426" s="1"/>
    </row>
    <row r="427" spans="6:40" x14ac:dyDescent="0.55000000000000004">
      <c r="F427" s="1"/>
      <c r="G427" s="1"/>
      <c r="H427" s="2"/>
      <c r="X427" s="1"/>
    </row>
    <row r="428" spans="6:40" x14ac:dyDescent="0.55000000000000004">
      <c r="F428" s="1"/>
      <c r="G428" s="1"/>
      <c r="H428" s="2"/>
      <c r="X428" s="1"/>
    </row>
    <row r="429" spans="6:40" x14ac:dyDescent="0.55000000000000004">
      <c r="F429" s="1"/>
      <c r="G429" s="1"/>
      <c r="H429" s="2"/>
      <c r="X429" s="1"/>
    </row>
    <row r="430" spans="6:40" x14ac:dyDescent="0.55000000000000004">
      <c r="F430" s="1"/>
      <c r="G430" s="1"/>
      <c r="H430" s="2"/>
      <c r="X430" s="1"/>
    </row>
    <row r="431" spans="6:40" x14ac:dyDescent="0.55000000000000004">
      <c r="F431" s="1"/>
      <c r="G431" s="1"/>
      <c r="H431" s="2"/>
      <c r="X431" s="1"/>
    </row>
    <row r="432" spans="6:40" x14ac:dyDescent="0.55000000000000004">
      <c r="F432" s="1"/>
      <c r="G432" s="1"/>
      <c r="H432" s="2"/>
      <c r="X432" s="1"/>
    </row>
    <row r="433" spans="6:40" x14ac:dyDescent="0.55000000000000004">
      <c r="F433" s="1"/>
      <c r="G433" s="1"/>
      <c r="H433" s="2"/>
      <c r="X433" s="1"/>
    </row>
    <row r="434" spans="6:40" x14ac:dyDescent="0.55000000000000004">
      <c r="F434" s="1"/>
      <c r="G434" s="1"/>
      <c r="H434" s="2"/>
      <c r="X434" s="1"/>
    </row>
    <row r="435" spans="6:40" x14ac:dyDescent="0.55000000000000004">
      <c r="F435" s="1"/>
      <c r="G435" s="1"/>
      <c r="H435" s="2"/>
      <c r="X435" s="1"/>
      <c r="AF435" s="4"/>
      <c r="AN435" s="4"/>
    </row>
    <row r="436" spans="6:40" x14ac:dyDescent="0.55000000000000004">
      <c r="F436" s="1"/>
      <c r="G436" s="1"/>
      <c r="H436" s="2"/>
      <c r="X436" s="1"/>
    </row>
    <row r="437" spans="6:40" x14ac:dyDescent="0.55000000000000004">
      <c r="F437" s="1"/>
      <c r="G437" s="1"/>
      <c r="H437" s="2"/>
      <c r="X437" s="1"/>
    </row>
    <row r="438" spans="6:40" x14ac:dyDescent="0.55000000000000004">
      <c r="F438" s="1"/>
      <c r="G438" s="1"/>
      <c r="H438" s="2"/>
      <c r="X438" s="1"/>
    </row>
    <row r="439" spans="6:40" x14ac:dyDescent="0.55000000000000004">
      <c r="F439" s="1"/>
      <c r="G439" s="1"/>
      <c r="H439" s="2"/>
      <c r="X439" s="1"/>
    </row>
    <row r="440" spans="6:40" x14ac:dyDescent="0.55000000000000004">
      <c r="F440" s="1"/>
      <c r="G440" s="1"/>
      <c r="H440" s="2"/>
      <c r="X440" s="1"/>
    </row>
    <row r="441" spans="6:40" x14ac:dyDescent="0.55000000000000004">
      <c r="F441" s="1"/>
      <c r="G441" s="1"/>
      <c r="H441" s="2"/>
      <c r="X441" s="1"/>
    </row>
    <row r="442" spans="6:40" x14ac:dyDescent="0.55000000000000004">
      <c r="F442" s="1"/>
      <c r="G442" s="1"/>
      <c r="H442" s="2"/>
      <c r="X442" s="1"/>
    </row>
    <row r="443" spans="6:40" x14ac:dyDescent="0.55000000000000004">
      <c r="F443" s="1"/>
      <c r="G443" s="1"/>
      <c r="H443" s="2"/>
      <c r="X443" s="1"/>
    </row>
    <row r="444" spans="6:40" x14ac:dyDescent="0.55000000000000004">
      <c r="F444" s="1"/>
      <c r="G444" s="1"/>
      <c r="H444" s="2"/>
      <c r="X444" s="1"/>
    </row>
    <row r="445" spans="6:40" x14ac:dyDescent="0.55000000000000004">
      <c r="F445" s="1"/>
      <c r="G445" s="1"/>
      <c r="H445" s="2"/>
      <c r="X445" s="1"/>
    </row>
    <row r="446" spans="6:40" x14ac:dyDescent="0.55000000000000004">
      <c r="F446" s="1"/>
      <c r="G446" s="1"/>
      <c r="H446" s="2"/>
      <c r="X446" s="1"/>
    </row>
    <row r="447" spans="6:40" x14ac:dyDescent="0.55000000000000004">
      <c r="F447" s="1"/>
      <c r="G447" s="1"/>
      <c r="H447" s="2"/>
      <c r="X447" s="1"/>
    </row>
    <row r="448" spans="6:40" x14ac:dyDescent="0.55000000000000004">
      <c r="F448" s="1"/>
      <c r="G448" s="1"/>
      <c r="H448" s="2"/>
      <c r="X448" s="1"/>
    </row>
    <row r="449" spans="6:40" x14ac:dyDescent="0.55000000000000004">
      <c r="F449" s="1"/>
      <c r="G449" s="1"/>
      <c r="H449" s="2"/>
      <c r="X449" s="1"/>
    </row>
    <row r="450" spans="6:40" x14ac:dyDescent="0.55000000000000004">
      <c r="F450" s="1"/>
      <c r="G450" s="1"/>
      <c r="H450" s="2"/>
      <c r="X450" s="1"/>
    </row>
    <row r="451" spans="6:40" x14ac:dyDescent="0.55000000000000004">
      <c r="F451" s="1"/>
      <c r="G451" s="1"/>
      <c r="H451" s="2"/>
      <c r="X451" s="1"/>
      <c r="AF451" s="3"/>
      <c r="AN451" s="3"/>
    </row>
    <row r="452" spans="6:40" x14ac:dyDescent="0.55000000000000004">
      <c r="F452" s="1"/>
      <c r="G452" s="1"/>
      <c r="H452" s="2"/>
      <c r="X452" s="1"/>
    </row>
    <row r="453" spans="6:40" x14ac:dyDescent="0.55000000000000004">
      <c r="F453" s="1"/>
      <c r="G453" s="1"/>
      <c r="H453" s="2"/>
      <c r="X453" s="1"/>
    </row>
    <row r="454" spans="6:40" x14ac:dyDescent="0.55000000000000004">
      <c r="F454" s="1"/>
      <c r="G454" s="1"/>
      <c r="H454" s="2"/>
      <c r="X454" s="1"/>
    </row>
    <row r="455" spans="6:40" x14ac:dyDescent="0.55000000000000004">
      <c r="F455" s="1"/>
      <c r="G455" s="1"/>
      <c r="H455" s="2"/>
      <c r="X455" s="1"/>
    </row>
    <row r="456" spans="6:40" x14ac:dyDescent="0.55000000000000004">
      <c r="F456" s="1"/>
      <c r="G456" s="1"/>
      <c r="H456" s="2"/>
      <c r="X456" s="1"/>
    </row>
    <row r="457" spans="6:40" x14ac:dyDescent="0.55000000000000004">
      <c r="F457" s="1"/>
      <c r="G457" s="1"/>
      <c r="H457" s="2"/>
      <c r="X457" s="1"/>
    </row>
    <row r="458" spans="6:40" x14ac:dyDescent="0.55000000000000004">
      <c r="F458" s="1"/>
      <c r="G458" s="1"/>
      <c r="H458" s="2"/>
      <c r="X458" s="1"/>
    </row>
    <row r="459" spans="6:40" x14ac:dyDescent="0.55000000000000004">
      <c r="F459" s="1"/>
      <c r="G459" s="1"/>
      <c r="H459" s="2"/>
      <c r="X459" s="1"/>
    </row>
    <row r="460" spans="6:40" x14ac:dyDescent="0.55000000000000004">
      <c r="F460" s="1"/>
      <c r="G460" s="1"/>
      <c r="H460" s="2"/>
      <c r="X460" s="1"/>
      <c r="AF460" s="4"/>
      <c r="AN460" s="4"/>
    </row>
    <row r="461" spans="6:40" x14ac:dyDescent="0.55000000000000004">
      <c r="F461" s="1"/>
      <c r="G461" s="1"/>
      <c r="H461" s="2"/>
      <c r="X461" s="1"/>
    </row>
    <row r="462" spans="6:40" x14ac:dyDescent="0.55000000000000004">
      <c r="F462" s="1"/>
      <c r="G462" s="1"/>
      <c r="H462" s="2"/>
      <c r="X462" s="1"/>
    </row>
    <row r="463" spans="6:40" x14ac:dyDescent="0.55000000000000004">
      <c r="F463" s="1"/>
      <c r="G463" s="1"/>
      <c r="H463" s="2"/>
      <c r="X463" s="1"/>
    </row>
    <row r="464" spans="6:40" x14ac:dyDescent="0.55000000000000004">
      <c r="F464" s="1"/>
      <c r="G464" s="1"/>
      <c r="H464" s="2"/>
      <c r="X464" s="1"/>
    </row>
    <row r="465" spans="6:24" x14ac:dyDescent="0.55000000000000004">
      <c r="F465" s="1"/>
      <c r="G465" s="1"/>
      <c r="H465" s="2"/>
      <c r="X465" s="1"/>
    </row>
    <row r="466" spans="6:24" x14ac:dyDescent="0.55000000000000004">
      <c r="F466" s="1"/>
      <c r="G466" s="1"/>
      <c r="H466" s="2"/>
      <c r="X466" s="1"/>
    </row>
    <row r="467" spans="6:24" x14ac:dyDescent="0.55000000000000004">
      <c r="F467" s="1"/>
      <c r="G467" s="1"/>
      <c r="H467" s="2"/>
      <c r="X467" s="1"/>
    </row>
    <row r="468" spans="6:24" x14ac:dyDescent="0.55000000000000004">
      <c r="F468" s="1"/>
      <c r="G468" s="1"/>
      <c r="H468" s="2"/>
      <c r="X468" s="1"/>
    </row>
    <row r="469" spans="6:24" x14ac:dyDescent="0.55000000000000004">
      <c r="F469" s="1"/>
      <c r="G469" s="1"/>
      <c r="H469" s="2"/>
      <c r="X469" s="1"/>
    </row>
    <row r="470" spans="6:24" x14ac:dyDescent="0.55000000000000004">
      <c r="F470" s="1"/>
      <c r="G470" s="1"/>
      <c r="H470" s="2"/>
      <c r="X470" s="1"/>
    </row>
    <row r="471" spans="6:24" x14ac:dyDescent="0.55000000000000004">
      <c r="F471" s="1"/>
      <c r="G471" s="1"/>
      <c r="H471" s="2"/>
      <c r="X471" s="1"/>
    </row>
    <row r="472" spans="6:24" x14ac:dyDescent="0.55000000000000004">
      <c r="F472" s="1"/>
      <c r="G472" s="1"/>
      <c r="H472" s="2"/>
      <c r="X472" s="1"/>
    </row>
    <row r="473" spans="6:24" x14ac:dyDescent="0.55000000000000004">
      <c r="F473" s="1"/>
      <c r="G473" s="1"/>
      <c r="H473" s="2"/>
      <c r="X473" s="1"/>
    </row>
    <row r="474" spans="6:24" x14ac:dyDescent="0.55000000000000004">
      <c r="F474" s="1"/>
      <c r="G474" s="1"/>
      <c r="H474" s="2"/>
      <c r="X474" s="1"/>
    </row>
    <row r="475" spans="6:24" x14ac:dyDescent="0.55000000000000004">
      <c r="F475" s="1"/>
      <c r="G475" s="1"/>
      <c r="H475" s="2"/>
      <c r="X475" s="1"/>
    </row>
    <row r="476" spans="6:24" x14ac:dyDescent="0.55000000000000004">
      <c r="F476" s="1"/>
      <c r="G476" s="1"/>
      <c r="H476" s="2"/>
      <c r="X476" s="1"/>
    </row>
    <row r="477" spans="6:24" x14ac:dyDescent="0.55000000000000004">
      <c r="F477" s="1"/>
      <c r="G477" s="1"/>
      <c r="H477" s="2"/>
      <c r="X477" s="1"/>
    </row>
    <row r="478" spans="6:24" x14ac:dyDescent="0.55000000000000004">
      <c r="F478" s="1"/>
      <c r="G478" s="1"/>
      <c r="H478" s="2"/>
      <c r="X478" s="1"/>
    </row>
    <row r="479" spans="6:24" x14ac:dyDescent="0.55000000000000004">
      <c r="F479" s="1"/>
      <c r="G479" s="1"/>
      <c r="H479" s="2"/>
      <c r="X479" s="1"/>
    </row>
    <row r="480" spans="6:24" x14ac:dyDescent="0.55000000000000004">
      <c r="F480" s="1"/>
      <c r="G480" s="1"/>
      <c r="H480" s="2"/>
      <c r="X480" s="1"/>
    </row>
    <row r="481" spans="6:40" x14ac:dyDescent="0.55000000000000004">
      <c r="F481" s="1"/>
      <c r="G481" s="1"/>
      <c r="H481" s="2"/>
      <c r="X481" s="1"/>
    </row>
    <row r="482" spans="6:40" x14ac:dyDescent="0.55000000000000004">
      <c r="F482" s="1"/>
      <c r="G482" s="1"/>
      <c r="H482" s="2"/>
      <c r="X482" s="1"/>
    </row>
    <row r="483" spans="6:40" x14ac:dyDescent="0.55000000000000004">
      <c r="F483" s="1"/>
      <c r="G483" s="1"/>
      <c r="H483" s="2"/>
      <c r="X483" s="1"/>
    </row>
    <row r="484" spans="6:40" x14ac:dyDescent="0.55000000000000004">
      <c r="F484" s="1"/>
      <c r="G484" s="1"/>
      <c r="H484" s="2"/>
      <c r="X484" s="1"/>
    </row>
    <row r="485" spans="6:40" x14ac:dyDescent="0.55000000000000004">
      <c r="F485" s="1"/>
      <c r="G485" s="1"/>
      <c r="H485" s="2"/>
      <c r="X485" s="1"/>
    </row>
    <row r="486" spans="6:40" x14ac:dyDescent="0.55000000000000004">
      <c r="F486" s="1"/>
      <c r="G486" s="1"/>
      <c r="H486" s="2"/>
      <c r="X486" s="1"/>
    </row>
    <row r="487" spans="6:40" x14ac:dyDescent="0.55000000000000004">
      <c r="F487" s="1"/>
      <c r="G487" s="1"/>
      <c r="H487" s="2"/>
      <c r="X487" s="1"/>
      <c r="AF487" s="4"/>
      <c r="AN487" s="4"/>
    </row>
    <row r="488" spans="6:40" x14ac:dyDescent="0.55000000000000004">
      <c r="F488" s="1"/>
      <c r="G488" s="1"/>
      <c r="H488" s="2"/>
      <c r="X488" s="1"/>
    </row>
    <row r="489" spans="6:40" x14ac:dyDescent="0.55000000000000004">
      <c r="F489" s="1"/>
      <c r="G489" s="1"/>
      <c r="H489" s="2"/>
      <c r="X489" s="1"/>
    </row>
    <row r="490" spans="6:40" x14ac:dyDescent="0.55000000000000004">
      <c r="F490" s="1"/>
      <c r="G490" s="1"/>
      <c r="H490" s="2"/>
      <c r="X490" s="1"/>
    </row>
    <row r="491" spans="6:40" x14ac:dyDescent="0.55000000000000004">
      <c r="F491" s="1"/>
      <c r="G491" s="1"/>
      <c r="H491" s="2"/>
      <c r="X491" s="1"/>
    </row>
    <row r="492" spans="6:40" x14ac:dyDescent="0.55000000000000004">
      <c r="F492" s="1"/>
      <c r="G492" s="1"/>
      <c r="H492" s="2"/>
      <c r="X492" s="1"/>
    </row>
    <row r="493" spans="6:40" x14ac:dyDescent="0.55000000000000004">
      <c r="F493" s="1"/>
      <c r="G493" s="1"/>
      <c r="H493" s="2"/>
      <c r="X493" s="1"/>
    </row>
    <row r="494" spans="6:40" x14ac:dyDescent="0.55000000000000004">
      <c r="F494" s="1"/>
      <c r="G494" s="1"/>
      <c r="H494" s="2"/>
      <c r="X494" s="1"/>
    </row>
    <row r="495" spans="6:40" x14ac:dyDescent="0.55000000000000004">
      <c r="F495" s="1"/>
      <c r="G495" s="1"/>
      <c r="H495" s="2"/>
      <c r="X495" s="1"/>
    </row>
    <row r="496" spans="6:40" x14ac:dyDescent="0.55000000000000004">
      <c r="F496" s="1"/>
      <c r="G496" s="1"/>
      <c r="H496" s="2"/>
      <c r="X496" s="1"/>
    </row>
    <row r="497" spans="6:40" x14ac:dyDescent="0.55000000000000004">
      <c r="F497" s="1"/>
      <c r="G497" s="1"/>
      <c r="H497" s="2"/>
      <c r="X497" s="1"/>
    </row>
    <row r="498" spans="6:40" x14ac:dyDescent="0.55000000000000004">
      <c r="F498" s="1"/>
      <c r="G498" s="1"/>
      <c r="H498" s="2"/>
      <c r="X498" s="1"/>
      <c r="AF498" s="4"/>
      <c r="AN498" s="4"/>
    </row>
    <row r="499" spans="6:40" x14ac:dyDescent="0.55000000000000004">
      <c r="F499" s="1"/>
      <c r="G499" s="1"/>
      <c r="H499" s="2"/>
      <c r="X499" s="1"/>
    </row>
    <row r="500" spans="6:40" x14ac:dyDescent="0.55000000000000004">
      <c r="F500" s="1"/>
      <c r="G500" s="1"/>
      <c r="H500" s="2"/>
      <c r="X500" s="1"/>
    </row>
    <row r="501" spans="6:40" x14ac:dyDescent="0.55000000000000004">
      <c r="F501" s="1"/>
      <c r="G501" s="1"/>
      <c r="H501" s="2"/>
      <c r="X501" s="1"/>
    </row>
    <row r="502" spans="6:40" x14ac:dyDescent="0.55000000000000004">
      <c r="F502" s="1"/>
      <c r="G502" s="1"/>
      <c r="H502" s="2"/>
      <c r="X502" s="1"/>
    </row>
    <row r="503" spans="6:40" x14ac:dyDescent="0.55000000000000004">
      <c r="F503" s="1"/>
      <c r="G503" s="1"/>
      <c r="H503" s="2"/>
      <c r="X503" s="1"/>
    </row>
    <row r="504" spans="6:40" x14ac:dyDescent="0.55000000000000004">
      <c r="F504" s="1"/>
      <c r="G504" s="1"/>
      <c r="H504" s="2"/>
      <c r="X504" s="1"/>
    </row>
    <row r="505" spans="6:40" x14ac:dyDescent="0.55000000000000004">
      <c r="F505" s="1"/>
      <c r="G505" s="1"/>
      <c r="H505" s="2"/>
      <c r="X505" s="1"/>
    </row>
    <row r="506" spans="6:40" x14ac:dyDescent="0.55000000000000004">
      <c r="F506" s="1"/>
      <c r="G506" s="1"/>
      <c r="H506" s="2"/>
      <c r="X506" s="1"/>
    </row>
    <row r="507" spans="6:40" x14ac:dyDescent="0.55000000000000004">
      <c r="F507" s="1"/>
      <c r="G507" s="1"/>
      <c r="H507" s="2"/>
      <c r="X507" s="1"/>
    </row>
    <row r="508" spans="6:40" x14ac:dyDescent="0.55000000000000004">
      <c r="F508" s="1"/>
      <c r="G508" s="1"/>
      <c r="H508" s="2"/>
      <c r="X508" s="1"/>
    </row>
    <row r="509" spans="6:40" x14ac:dyDescent="0.55000000000000004">
      <c r="F509" s="1"/>
      <c r="G509" s="1"/>
      <c r="H509" s="2"/>
      <c r="X509" s="1"/>
    </row>
    <row r="510" spans="6:40" x14ac:dyDescent="0.55000000000000004">
      <c r="F510" s="1"/>
      <c r="G510" s="1"/>
      <c r="H510" s="2"/>
      <c r="X510" s="1"/>
    </row>
    <row r="511" spans="6:40" x14ac:dyDescent="0.55000000000000004">
      <c r="F511" s="1"/>
      <c r="G511" s="1"/>
      <c r="H511" s="2"/>
      <c r="X511" s="1"/>
    </row>
    <row r="512" spans="6:40" x14ac:dyDescent="0.55000000000000004">
      <c r="F512" s="1"/>
      <c r="H512" s="2"/>
      <c r="AF512" s="3"/>
      <c r="AN512" s="3"/>
    </row>
    <row r="513" spans="6:40" x14ac:dyDescent="0.55000000000000004">
      <c r="F513" s="1"/>
      <c r="G513" s="1"/>
      <c r="H513" s="2"/>
      <c r="X513" s="1"/>
    </row>
    <row r="514" spans="6:40" x14ac:dyDescent="0.55000000000000004">
      <c r="F514" s="1"/>
      <c r="G514" s="1"/>
      <c r="H514" s="2"/>
      <c r="X514" s="1"/>
    </row>
    <row r="515" spans="6:40" x14ac:dyDescent="0.55000000000000004">
      <c r="F515" s="1"/>
      <c r="G515" s="1"/>
      <c r="H515" s="2"/>
      <c r="X515" s="1"/>
    </row>
    <row r="516" spans="6:40" x14ac:dyDescent="0.55000000000000004">
      <c r="F516" s="1"/>
      <c r="G516" s="1"/>
      <c r="H516" s="2"/>
      <c r="X516" s="1"/>
    </row>
    <row r="517" spans="6:40" x14ac:dyDescent="0.55000000000000004">
      <c r="F517" s="1"/>
      <c r="G517" s="1"/>
      <c r="H517" s="2"/>
      <c r="X517" s="1"/>
    </row>
    <row r="518" spans="6:40" x14ac:dyDescent="0.55000000000000004">
      <c r="F518" s="1"/>
      <c r="G518" s="1"/>
      <c r="H518" s="2"/>
      <c r="X518" s="1"/>
    </row>
    <row r="519" spans="6:40" x14ac:dyDescent="0.55000000000000004">
      <c r="F519" s="1"/>
      <c r="G519" s="1"/>
      <c r="H519" s="2"/>
      <c r="X519" s="1"/>
    </row>
    <row r="520" spans="6:40" x14ac:dyDescent="0.55000000000000004">
      <c r="F520" s="1"/>
      <c r="G520" s="1"/>
      <c r="H520" s="2"/>
      <c r="X520" s="1"/>
      <c r="AF520" s="4"/>
      <c r="AN520" s="4"/>
    </row>
    <row r="521" spans="6:40" x14ac:dyDescent="0.55000000000000004">
      <c r="F521" s="1"/>
      <c r="G521" s="1"/>
      <c r="H521" s="2"/>
      <c r="X521" s="1"/>
    </row>
    <row r="522" spans="6:40" x14ac:dyDescent="0.55000000000000004">
      <c r="F522" s="1"/>
      <c r="G522" s="1"/>
      <c r="H522" s="2"/>
      <c r="X522" s="1"/>
    </row>
    <row r="523" spans="6:40" x14ac:dyDescent="0.55000000000000004">
      <c r="F523" s="1"/>
      <c r="G523" s="1"/>
      <c r="H523" s="2"/>
      <c r="X523" s="1"/>
    </row>
    <row r="524" spans="6:40" x14ac:dyDescent="0.55000000000000004">
      <c r="F524" s="1"/>
      <c r="G524" s="1"/>
      <c r="H524" s="2"/>
      <c r="X524" s="1"/>
    </row>
    <row r="525" spans="6:40" x14ac:dyDescent="0.55000000000000004">
      <c r="F525" s="1"/>
      <c r="G525" s="1"/>
      <c r="H525" s="2"/>
      <c r="X525" s="1"/>
    </row>
    <row r="526" spans="6:40" x14ac:dyDescent="0.55000000000000004">
      <c r="F526" s="1"/>
      <c r="G526" s="1"/>
      <c r="H526" s="2"/>
      <c r="X526" s="1"/>
    </row>
    <row r="527" spans="6:40" x14ac:dyDescent="0.55000000000000004">
      <c r="F527" s="1"/>
      <c r="G527" s="1"/>
      <c r="H527" s="2"/>
      <c r="X527" s="1"/>
      <c r="AF527" s="4"/>
      <c r="AN527" s="4"/>
    </row>
    <row r="528" spans="6:40" x14ac:dyDescent="0.55000000000000004">
      <c r="F528" s="1"/>
      <c r="G528" s="1"/>
      <c r="H528" s="2"/>
      <c r="X528" s="1"/>
    </row>
    <row r="529" spans="6:24" x14ac:dyDescent="0.55000000000000004">
      <c r="F529" s="1"/>
      <c r="G529" s="1"/>
      <c r="H529" s="2"/>
      <c r="X529" s="1"/>
    </row>
    <row r="530" spans="6:24" x14ac:dyDescent="0.55000000000000004">
      <c r="F530" s="1"/>
      <c r="G530" s="1"/>
      <c r="H530" s="2"/>
      <c r="X530" s="1"/>
    </row>
    <row r="531" spans="6:24" x14ac:dyDescent="0.55000000000000004">
      <c r="F531" s="1"/>
      <c r="H531" s="2"/>
    </row>
    <row r="532" spans="6:24" x14ac:dyDescent="0.55000000000000004">
      <c r="F532" s="1"/>
      <c r="G532" s="1"/>
      <c r="H532" s="2"/>
      <c r="X532" s="1"/>
    </row>
    <row r="533" spans="6:24" x14ac:dyDescent="0.55000000000000004">
      <c r="F533" s="1"/>
      <c r="G533" s="1"/>
      <c r="H533" s="2"/>
      <c r="X533" s="1"/>
    </row>
    <row r="534" spans="6:24" x14ac:dyDescent="0.55000000000000004">
      <c r="F534" s="1"/>
      <c r="G534" s="1"/>
      <c r="H534" s="2"/>
      <c r="X534" s="1"/>
    </row>
    <row r="535" spans="6:24" x14ac:dyDescent="0.55000000000000004">
      <c r="F535" s="1"/>
      <c r="G535" s="1"/>
      <c r="H535" s="2"/>
      <c r="X535" s="1"/>
    </row>
    <row r="536" spans="6:24" x14ac:dyDescent="0.55000000000000004">
      <c r="F536" s="1"/>
      <c r="G536" s="1"/>
      <c r="H536" s="2"/>
      <c r="X536" s="1"/>
    </row>
    <row r="537" spans="6:24" x14ac:dyDescent="0.55000000000000004">
      <c r="F537" s="1"/>
      <c r="G537" s="1"/>
      <c r="H537" s="2"/>
      <c r="X537" s="1"/>
    </row>
    <row r="538" spans="6:24" x14ac:dyDescent="0.55000000000000004">
      <c r="F538" s="1"/>
      <c r="G538" s="1"/>
      <c r="H538" s="2"/>
      <c r="X538" s="1"/>
    </row>
    <row r="539" spans="6:24" x14ac:dyDescent="0.55000000000000004">
      <c r="F539" s="1"/>
      <c r="G539" s="1"/>
      <c r="H539" s="2"/>
      <c r="X539" s="1"/>
    </row>
    <row r="540" spans="6:24" x14ac:dyDescent="0.55000000000000004">
      <c r="F540" s="1"/>
      <c r="G540" s="1"/>
      <c r="H540" s="2"/>
      <c r="X540" s="1"/>
    </row>
    <row r="541" spans="6:24" x14ac:dyDescent="0.55000000000000004">
      <c r="F541" s="1"/>
      <c r="G541" s="1"/>
      <c r="H541" s="2"/>
      <c r="X541" s="1"/>
    </row>
    <row r="542" spans="6:24" x14ac:dyDescent="0.55000000000000004">
      <c r="F542" s="1"/>
      <c r="G542" s="1"/>
      <c r="H542" s="2"/>
      <c r="X542" s="1"/>
    </row>
    <row r="543" spans="6:24" x14ac:dyDescent="0.55000000000000004">
      <c r="F543" s="1"/>
      <c r="G543" s="1"/>
      <c r="H543" s="2"/>
      <c r="X543" s="1"/>
    </row>
    <row r="544" spans="6:24" x14ac:dyDescent="0.55000000000000004">
      <c r="F544" s="1"/>
      <c r="G544" s="1"/>
      <c r="H544" s="2"/>
      <c r="X544" s="1"/>
    </row>
    <row r="545" spans="6:40" x14ac:dyDescent="0.55000000000000004">
      <c r="F545" s="1"/>
      <c r="G545" s="1"/>
      <c r="H545" s="2"/>
      <c r="X545" s="1"/>
    </row>
    <row r="546" spans="6:40" x14ac:dyDescent="0.55000000000000004">
      <c r="F546" s="1"/>
      <c r="G546" s="1"/>
      <c r="H546" s="2"/>
      <c r="X546" s="1"/>
    </row>
    <row r="547" spans="6:40" x14ac:dyDescent="0.55000000000000004">
      <c r="F547" s="1"/>
      <c r="G547" s="1"/>
      <c r="H547" s="2"/>
      <c r="X547" s="1"/>
    </row>
    <row r="548" spans="6:40" x14ac:dyDescent="0.55000000000000004">
      <c r="F548" s="1"/>
      <c r="G548" s="1"/>
      <c r="H548" s="2"/>
      <c r="X548" s="1"/>
      <c r="AF548" s="4"/>
      <c r="AN548" s="4"/>
    </row>
    <row r="549" spans="6:40" x14ac:dyDescent="0.55000000000000004">
      <c r="F549" s="1"/>
      <c r="G549" s="1"/>
      <c r="H549" s="2"/>
      <c r="X549" s="1"/>
    </row>
    <row r="550" spans="6:40" x14ac:dyDescent="0.55000000000000004">
      <c r="F550" s="1"/>
      <c r="G550" s="1"/>
      <c r="H550" s="2"/>
      <c r="X550" s="1"/>
    </row>
    <row r="551" spans="6:40" x14ac:dyDescent="0.55000000000000004">
      <c r="F551" s="1"/>
      <c r="G551" s="1"/>
      <c r="H551" s="2"/>
      <c r="X551" s="1"/>
    </row>
    <row r="552" spans="6:40" x14ac:dyDescent="0.55000000000000004">
      <c r="F552" s="1"/>
      <c r="G552" s="1"/>
      <c r="H552" s="2"/>
      <c r="X552" s="1"/>
    </row>
    <row r="553" spans="6:40" x14ac:dyDescent="0.55000000000000004">
      <c r="F553" s="1"/>
      <c r="G553" s="1"/>
      <c r="H553" s="2"/>
      <c r="X553" s="1"/>
    </row>
    <row r="554" spans="6:40" x14ac:dyDescent="0.55000000000000004">
      <c r="F554" s="1"/>
      <c r="G554" s="1"/>
      <c r="H554" s="2"/>
      <c r="X554" s="1"/>
    </row>
    <row r="555" spans="6:40" x14ac:dyDescent="0.55000000000000004">
      <c r="F555" s="1"/>
      <c r="G555" s="1"/>
      <c r="H555" s="2"/>
      <c r="X555" s="1"/>
    </row>
    <row r="556" spans="6:40" x14ac:dyDescent="0.55000000000000004">
      <c r="F556" s="1"/>
      <c r="G556" s="1"/>
      <c r="H556" s="2"/>
      <c r="X556" s="1"/>
    </row>
    <row r="557" spans="6:40" x14ac:dyDescent="0.55000000000000004">
      <c r="F557" s="1"/>
      <c r="G557" s="1"/>
      <c r="H557" s="2"/>
      <c r="X557" s="1"/>
    </row>
    <row r="558" spans="6:40" x14ac:dyDescent="0.55000000000000004">
      <c r="F558" s="1"/>
      <c r="G558" s="1"/>
      <c r="H558" s="2"/>
      <c r="X558" s="1"/>
    </row>
    <row r="559" spans="6:40" x14ac:dyDescent="0.55000000000000004">
      <c r="F559" s="1"/>
      <c r="G559" s="1"/>
      <c r="H559" s="2"/>
      <c r="X559" s="1"/>
    </row>
    <row r="560" spans="6:40" x14ac:dyDescent="0.55000000000000004">
      <c r="F560" s="1"/>
      <c r="G560" s="1"/>
      <c r="H560" s="2"/>
      <c r="X560" s="1"/>
    </row>
    <row r="561" spans="6:40" x14ac:dyDescent="0.55000000000000004">
      <c r="F561" s="1"/>
      <c r="G561" s="1"/>
      <c r="H561" s="2"/>
      <c r="X561" s="1"/>
    </row>
    <row r="562" spans="6:40" x14ac:dyDescent="0.55000000000000004">
      <c r="F562" s="1"/>
      <c r="G562" s="1"/>
      <c r="H562" s="2"/>
      <c r="X562" s="1"/>
    </row>
    <row r="563" spans="6:40" x14ac:dyDescent="0.55000000000000004">
      <c r="F563" s="1"/>
      <c r="G563" s="1"/>
      <c r="H563" s="2"/>
      <c r="X563" s="1"/>
    </row>
    <row r="564" spans="6:40" x14ac:dyDescent="0.55000000000000004">
      <c r="F564" s="1"/>
      <c r="H564" s="2"/>
    </row>
    <row r="565" spans="6:40" x14ac:dyDescent="0.55000000000000004">
      <c r="F565" s="1"/>
      <c r="G565" s="1"/>
      <c r="H565" s="2"/>
      <c r="X565" s="1"/>
      <c r="AF565" s="4"/>
      <c r="AN565" s="4"/>
    </row>
    <row r="566" spans="6:40" x14ac:dyDescent="0.55000000000000004">
      <c r="F566" s="1"/>
      <c r="G566" s="1"/>
      <c r="H566" s="2"/>
      <c r="X566" s="1"/>
    </row>
    <row r="567" spans="6:40" x14ac:dyDescent="0.55000000000000004">
      <c r="F567" s="1"/>
      <c r="G567" s="1"/>
      <c r="H567" s="2"/>
      <c r="X567" s="1"/>
    </row>
    <row r="568" spans="6:40" x14ac:dyDescent="0.55000000000000004">
      <c r="F568" s="1"/>
      <c r="G568" s="1"/>
      <c r="H568" s="2"/>
      <c r="X568" s="1"/>
    </row>
    <row r="569" spans="6:40" x14ac:dyDescent="0.55000000000000004">
      <c r="F569" s="1"/>
      <c r="G569" s="1"/>
      <c r="H569" s="2"/>
      <c r="X569" s="1"/>
    </row>
    <row r="570" spans="6:40" x14ac:dyDescent="0.55000000000000004">
      <c r="F570" s="1"/>
      <c r="G570" s="1"/>
      <c r="H570" s="2"/>
      <c r="X570" s="1"/>
    </row>
    <row r="571" spans="6:40" x14ac:dyDescent="0.55000000000000004">
      <c r="F571" s="1"/>
      <c r="G571" s="1"/>
      <c r="H571" s="2"/>
      <c r="X571" s="1"/>
    </row>
    <row r="572" spans="6:40" x14ac:dyDescent="0.55000000000000004">
      <c r="F572" s="1"/>
      <c r="G572" s="1"/>
      <c r="H572" s="2"/>
      <c r="X572" s="1"/>
    </row>
    <row r="573" spans="6:40" x14ac:dyDescent="0.55000000000000004">
      <c r="F573" s="1"/>
      <c r="G573" s="1"/>
      <c r="H573" s="2"/>
      <c r="X573" s="1"/>
    </row>
    <row r="574" spans="6:40" x14ac:dyDescent="0.55000000000000004">
      <c r="F574" s="1"/>
      <c r="G574" s="1"/>
      <c r="H574" s="2"/>
      <c r="X574" s="1"/>
    </row>
    <row r="575" spans="6:40" x14ac:dyDescent="0.55000000000000004">
      <c r="F575" s="1"/>
      <c r="G575" s="1"/>
      <c r="H575" s="2"/>
      <c r="X575" s="1"/>
    </row>
    <row r="576" spans="6:40" x14ac:dyDescent="0.55000000000000004">
      <c r="F576" s="1"/>
      <c r="G576" s="1"/>
      <c r="H576" s="2"/>
      <c r="X576" s="1"/>
    </row>
    <row r="577" spans="6:40" x14ac:dyDescent="0.55000000000000004">
      <c r="F577" s="1"/>
      <c r="G577" s="1"/>
      <c r="H577" s="2"/>
      <c r="X577" s="1"/>
    </row>
    <row r="578" spans="6:40" x14ac:dyDescent="0.55000000000000004">
      <c r="F578" s="1"/>
      <c r="G578" s="1"/>
      <c r="H578" s="2"/>
      <c r="X578" s="1"/>
    </row>
    <row r="579" spans="6:40" x14ac:dyDescent="0.55000000000000004">
      <c r="F579" s="1"/>
      <c r="G579" s="1"/>
      <c r="H579" s="2"/>
      <c r="X579" s="1"/>
    </row>
    <row r="580" spans="6:40" x14ac:dyDescent="0.55000000000000004">
      <c r="F580" s="1"/>
      <c r="G580" s="1"/>
      <c r="H580" s="2"/>
      <c r="X580" s="1"/>
      <c r="AF580" s="3"/>
      <c r="AN580" s="3"/>
    </row>
    <row r="581" spans="6:40" x14ac:dyDescent="0.55000000000000004">
      <c r="F581" s="1"/>
      <c r="G581" s="1"/>
      <c r="H581" s="2"/>
      <c r="X581" s="1"/>
    </row>
    <row r="582" spans="6:40" x14ac:dyDescent="0.55000000000000004">
      <c r="F582" s="1"/>
      <c r="G582" s="1"/>
      <c r="H582" s="2"/>
      <c r="X582" s="1"/>
    </row>
    <row r="583" spans="6:40" x14ac:dyDescent="0.55000000000000004">
      <c r="F583" s="1"/>
      <c r="G583" s="1"/>
      <c r="H583" s="2"/>
      <c r="X583" s="1"/>
    </row>
    <row r="584" spans="6:40" x14ac:dyDescent="0.55000000000000004">
      <c r="F584" s="1"/>
      <c r="G584" s="1"/>
      <c r="H584" s="2"/>
      <c r="X584" s="1"/>
    </row>
    <row r="585" spans="6:40" x14ac:dyDescent="0.55000000000000004">
      <c r="F585" s="1"/>
      <c r="G585" s="1"/>
      <c r="H585" s="2"/>
      <c r="X585" s="1"/>
    </row>
    <row r="586" spans="6:40" x14ac:dyDescent="0.55000000000000004">
      <c r="F586" s="1"/>
      <c r="G586" s="1"/>
      <c r="H586" s="2"/>
      <c r="X586" s="1"/>
    </row>
    <row r="587" spans="6:40" x14ac:dyDescent="0.55000000000000004">
      <c r="F587" s="1"/>
      <c r="G587" s="1"/>
      <c r="H587" s="2"/>
      <c r="X587" s="1"/>
      <c r="AF587" s="4"/>
      <c r="AN587" s="4"/>
    </row>
    <row r="588" spans="6:40" x14ac:dyDescent="0.55000000000000004">
      <c r="F588" s="1"/>
      <c r="G588" s="1"/>
      <c r="H588" s="2"/>
      <c r="X588" s="1"/>
    </row>
    <row r="589" spans="6:40" x14ac:dyDescent="0.55000000000000004">
      <c r="F589" s="1"/>
      <c r="G589" s="1"/>
      <c r="H589" s="2"/>
      <c r="X589" s="1"/>
    </row>
    <row r="590" spans="6:40" x14ac:dyDescent="0.55000000000000004">
      <c r="F590" s="1"/>
      <c r="G590" s="1"/>
      <c r="H590" s="2"/>
      <c r="X590" s="1"/>
    </row>
    <row r="591" spans="6:40" x14ac:dyDescent="0.55000000000000004">
      <c r="F591" s="1"/>
      <c r="G591" s="1"/>
      <c r="H591" s="2"/>
      <c r="X591" s="1"/>
    </row>
    <row r="592" spans="6:40" x14ac:dyDescent="0.55000000000000004">
      <c r="F592" s="1"/>
      <c r="G592" s="1"/>
      <c r="H592" s="2"/>
      <c r="X592" s="1"/>
    </row>
    <row r="593" spans="6:40" x14ac:dyDescent="0.55000000000000004">
      <c r="F593" s="1"/>
      <c r="G593" s="1"/>
      <c r="H593" s="2"/>
      <c r="X593" s="1"/>
    </row>
    <row r="594" spans="6:40" x14ac:dyDescent="0.55000000000000004">
      <c r="F594" s="1"/>
      <c r="G594" s="1"/>
      <c r="H594" s="2"/>
      <c r="X594" s="1"/>
    </row>
    <row r="595" spans="6:40" x14ac:dyDescent="0.55000000000000004">
      <c r="F595" s="1"/>
      <c r="G595" s="1"/>
      <c r="H595" s="2"/>
      <c r="X595" s="1"/>
    </row>
    <row r="596" spans="6:40" x14ac:dyDescent="0.55000000000000004">
      <c r="F596" s="1"/>
      <c r="G596" s="1"/>
      <c r="H596" s="2"/>
      <c r="X596" s="1"/>
    </row>
    <row r="597" spans="6:40" x14ac:dyDescent="0.55000000000000004">
      <c r="F597" s="1"/>
      <c r="G597" s="1"/>
      <c r="H597" s="2"/>
      <c r="X597" s="1"/>
      <c r="AF597" s="5"/>
      <c r="AN597" s="5"/>
    </row>
    <row r="598" spans="6:40" x14ac:dyDescent="0.55000000000000004">
      <c r="F598" s="1"/>
      <c r="G598" s="1"/>
      <c r="H598" s="2"/>
      <c r="X598" s="1"/>
    </row>
    <row r="599" spans="6:40" x14ac:dyDescent="0.55000000000000004">
      <c r="F599" s="1"/>
      <c r="G599" s="1"/>
      <c r="H599" s="2"/>
      <c r="X599" s="1"/>
    </row>
    <row r="600" spans="6:40" x14ac:dyDescent="0.55000000000000004">
      <c r="F600" s="1"/>
      <c r="G600" s="1"/>
      <c r="H600" s="2"/>
      <c r="X600" s="1"/>
    </row>
    <row r="601" spans="6:40" x14ac:dyDescent="0.55000000000000004">
      <c r="F601" s="1"/>
      <c r="G601" s="1"/>
      <c r="H601" s="2"/>
      <c r="X601" s="1"/>
    </row>
    <row r="602" spans="6:40" x14ac:dyDescent="0.55000000000000004">
      <c r="F602" s="1"/>
      <c r="G602" s="1"/>
      <c r="H602" s="2"/>
      <c r="X602" s="1"/>
    </row>
    <row r="603" spans="6:40" x14ac:dyDescent="0.55000000000000004">
      <c r="F603" s="1"/>
      <c r="G603" s="1"/>
      <c r="H603" s="2"/>
      <c r="X603" s="1"/>
    </row>
    <row r="604" spans="6:40" x14ac:dyDescent="0.55000000000000004">
      <c r="F604" s="1"/>
      <c r="G604" s="1"/>
      <c r="H604" s="2"/>
      <c r="X604" s="1"/>
    </row>
    <row r="605" spans="6:40" x14ac:dyDescent="0.55000000000000004">
      <c r="F605" s="1"/>
      <c r="G605" s="1"/>
      <c r="H605" s="2"/>
      <c r="X605" s="1"/>
    </row>
    <row r="606" spans="6:40" x14ac:dyDescent="0.55000000000000004">
      <c r="F606" s="1"/>
      <c r="G606" s="1"/>
      <c r="H606" s="2"/>
      <c r="X606" s="1"/>
    </row>
    <row r="607" spans="6:40" x14ac:dyDescent="0.55000000000000004">
      <c r="F607" s="1"/>
      <c r="G607" s="1"/>
      <c r="H607" s="2"/>
      <c r="X607" s="1"/>
    </row>
    <row r="608" spans="6:40" x14ac:dyDescent="0.55000000000000004">
      <c r="F608" s="1"/>
      <c r="G608" s="1"/>
      <c r="H608" s="2"/>
      <c r="X608" s="1"/>
    </row>
    <row r="609" spans="6:42" x14ac:dyDescent="0.55000000000000004">
      <c r="F609" s="1"/>
      <c r="G609" s="1"/>
      <c r="H609" s="2"/>
      <c r="X609" s="1"/>
    </row>
    <row r="610" spans="6:42" x14ac:dyDescent="0.55000000000000004">
      <c r="F610" s="1"/>
      <c r="G610" s="1"/>
      <c r="H610" s="2"/>
      <c r="X610" s="1"/>
    </row>
    <row r="611" spans="6:42" x14ac:dyDescent="0.55000000000000004">
      <c r="F611" s="1"/>
      <c r="G611" s="1"/>
      <c r="H611" s="2"/>
      <c r="X611" s="1"/>
    </row>
    <row r="612" spans="6:42" x14ac:dyDescent="0.55000000000000004">
      <c r="F612" s="1"/>
      <c r="G612" s="1"/>
      <c r="H612" s="2"/>
      <c r="X612" s="1"/>
      <c r="AF612" s="4"/>
      <c r="AN612" s="4"/>
    </row>
    <row r="613" spans="6:42" x14ac:dyDescent="0.55000000000000004">
      <c r="F613" s="1"/>
      <c r="G613" s="1"/>
      <c r="H613" s="2"/>
      <c r="X613" s="1"/>
    </row>
    <row r="614" spans="6:42" x14ac:dyDescent="0.55000000000000004">
      <c r="F614" s="1"/>
      <c r="G614" s="1"/>
      <c r="H614" s="2"/>
      <c r="X614" s="1"/>
    </row>
    <row r="615" spans="6:42" x14ac:dyDescent="0.55000000000000004">
      <c r="F615" s="1"/>
      <c r="G615" s="1"/>
      <c r="H615" s="2"/>
      <c r="X615" s="1"/>
    </row>
    <row r="616" spans="6:42" x14ac:dyDescent="0.55000000000000004">
      <c r="F616" s="1"/>
      <c r="G616" s="1"/>
      <c r="H616" s="2"/>
      <c r="X616" s="1"/>
    </row>
    <row r="617" spans="6:42" x14ac:dyDescent="0.55000000000000004">
      <c r="F617" s="1"/>
      <c r="G617" s="1"/>
      <c r="H617" s="2"/>
      <c r="X617" s="1"/>
    </row>
    <row r="618" spans="6:42" x14ac:dyDescent="0.55000000000000004">
      <c r="F618" s="1"/>
      <c r="G618" s="1"/>
      <c r="H618" s="2"/>
      <c r="X618" s="1"/>
    </row>
    <row r="619" spans="6:42" x14ac:dyDescent="0.55000000000000004">
      <c r="F619" s="1"/>
      <c r="G619" s="1"/>
      <c r="H619" s="2"/>
      <c r="X619" s="1"/>
      <c r="AP619" s="2"/>
    </row>
    <row r="620" spans="6:42" x14ac:dyDescent="0.55000000000000004">
      <c r="F620" s="1"/>
      <c r="G620" s="1"/>
      <c r="H620" s="2"/>
      <c r="X620" s="1"/>
    </row>
    <row r="621" spans="6:42" x14ac:dyDescent="0.55000000000000004">
      <c r="F621" s="1"/>
      <c r="G621" s="1"/>
      <c r="H621" s="2"/>
      <c r="X621" s="1"/>
    </row>
    <row r="622" spans="6:42" x14ac:dyDescent="0.55000000000000004">
      <c r="F622" s="1"/>
      <c r="G622" s="1"/>
      <c r="H622" s="2"/>
      <c r="X622" s="1"/>
    </row>
    <row r="623" spans="6:42" x14ac:dyDescent="0.55000000000000004">
      <c r="F623" s="1"/>
      <c r="G623" s="1"/>
      <c r="H623" s="2"/>
      <c r="X623" s="1"/>
    </row>
    <row r="624" spans="6:42" x14ac:dyDescent="0.55000000000000004">
      <c r="F624" s="1"/>
      <c r="G624" s="1"/>
      <c r="H624" s="2"/>
      <c r="X624" s="1"/>
    </row>
    <row r="625" spans="6:42" x14ac:dyDescent="0.55000000000000004">
      <c r="F625" s="1"/>
      <c r="G625" s="1"/>
      <c r="H625" s="2"/>
      <c r="X625" s="1"/>
    </row>
    <row r="626" spans="6:42" x14ac:dyDescent="0.55000000000000004">
      <c r="F626" s="1"/>
      <c r="G626" s="1"/>
      <c r="H626" s="2"/>
      <c r="X626" s="1"/>
    </row>
    <row r="627" spans="6:42" x14ac:dyDescent="0.55000000000000004">
      <c r="F627" s="1"/>
      <c r="G627" s="1"/>
      <c r="H627" s="2"/>
      <c r="X627" s="1"/>
    </row>
    <row r="628" spans="6:42" x14ac:dyDescent="0.55000000000000004">
      <c r="F628" s="1"/>
      <c r="G628" s="1"/>
      <c r="H628" s="2"/>
      <c r="X628" s="1"/>
    </row>
    <row r="629" spans="6:42" x14ac:dyDescent="0.55000000000000004">
      <c r="F629" s="1"/>
      <c r="G629" s="1"/>
      <c r="H629" s="2"/>
      <c r="X629" s="1"/>
    </row>
    <row r="630" spans="6:42" x14ac:dyDescent="0.55000000000000004">
      <c r="F630" s="1"/>
      <c r="G630" s="1"/>
      <c r="H630" s="2"/>
      <c r="X630" s="1"/>
    </row>
    <row r="631" spans="6:42" x14ac:dyDescent="0.55000000000000004">
      <c r="F631" s="1"/>
      <c r="G631" s="1"/>
      <c r="H631" s="2"/>
      <c r="X631" s="1"/>
    </row>
    <row r="632" spans="6:42" x14ac:dyDescent="0.55000000000000004">
      <c r="F632" s="1"/>
      <c r="G632" s="1"/>
      <c r="H632" s="2"/>
      <c r="X632" s="1"/>
      <c r="AF632" s="4"/>
      <c r="AN632" s="4"/>
    </row>
    <row r="633" spans="6:42" x14ac:dyDescent="0.55000000000000004">
      <c r="F633" s="1"/>
      <c r="G633" s="1"/>
      <c r="H633" s="2"/>
      <c r="X633" s="1"/>
    </row>
    <row r="634" spans="6:42" x14ac:dyDescent="0.55000000000000004">
      <c r="F634" s="1"/>
      <c r="G634" s="1"/>
      <c r="H634" s="2"/>
      <c r="X634" s="1"/>
    </row>
    <row r="635" spans="6:42" x14ac:dyDescent="0.55000000000000004">
      <c r="F635" s="1"/>
      <c r="G635" s="1"/>
      <c r="H635" s="2"/>
      <c r="X635" s="1"/>
    </row>
    <row r="636" spans="6:42" x14ac:dyDescent="0.55000000000000004">
      <c r="F636" s="1"/>
      <c r="G636" s="1"/>
      <c r="H636" s="2"/>
      <c r="X636" s="1"/>
    </row>
    <row r="637" spans="6:42" x14ac:dyDescent="0.55000000000000004">
      <c r="F637" s="1"/>
      <c r="G637" s="1"/>
      <c r="H637" s="2"/>
      <c r="X637" s="1"/>
    </row>
    <row r="638" spans="6:42" x14ac:dyDescent="0.55000000000000004">
      <c r="F638" s="1"/>
      <c r="G638" s="1"/>
      <c r="H638" s="2"/>
      <c r="X638" s="1"/>
    </row>
    <row r="639" spans="6:42" x14ac:dyDescent="0.55000000000000004">
      <c r="F639" s="1"/>
      <c r="G639" s="1"/>
      <c r="H639" s="2"/>
      <c r="X639" s="1"/>
    </row>
    <row r="640" spans="6:42" x14ac:dyDescent="0.55000000000000004">
      <c r="F640" s="1"/>
      <c r="G640" s="1"/>
      <c r="H640" s="2"/>
      <c r="X640" s="1"/>
      <c r="AP640" s="2"/>
    </row>
    <row r="641" spans="6:40" x14ac:dyDescent="0.55000000000000004">
      <c r="F641" s="1"/>
      <c r="G641" s="1"/>
      <c r="H641" s="2"/>
      <c r="X641" s="1"/>
    </row>
    <row r="642" spans="6:40" x14ac:dyDescent="0.55000000000000004">
      <c r="F642" s="1"/>
      <c r="H642" s="2"/>
      <c r="AF642" s="3"/>
      <c r="AN642" s="3"/>
    </row>
    <row r="643" spans="6:40" x14ac:dyDescent="0.55000000000000004">
      <c r="F643" s="1"/>
      <c r="G643" s="1"/>
      <c r="H643" s="2"/>
      <c r="X643" s="1"/>
    </row>
    <row r="644" spans="6:40" x14ac:dyDescent="0.55000000000000004">
      <c r="F644" s="1"/>
      <c r="G644" s="1"/>
      <c r="H644" s="2"/>
      <c r="X644" s="1"/>
    </row>
    <row r="645" spans="6:40" x14ac:dyDescent="0.55000000000000004">
      <c r="F645" s="1"/>
      <c r="G645" s="1"/>
      <c r="H645" s="2"/>
      <c r="X645" s="1"/>
    </row>
    <row r="646" spans="6:40" x14ac:dyDescent="0.55000000000000004">
      <c r="F646" s="1"/>
      <c r="G646" s="1"/>
      <c r="H646" s="2"/>
      <c r="X646" s="1"/>
    </row>
    <row r="647" spans="6:40" x14ac:dyDescent="0.55000000000000004">
      <c r="F647" s="1"/>
      <c r="G647" s="1"/>
      <c r="H647" s="2"/>
      <c r="X647" s="1"/>
    </row>
    <row r="648" spans="6:40" x14ac:dyDescent="0.55000000000000004">
      <c r="F648" s="1"/>
      <c r="G648" s="1"/>
      <c r="H648" s="2"/>
      <c r="X648" s="1"/>
    </row>
    <row r="649" spans="6:40" x14ac:dyDescent="0.55000000000000004">
      <c r="F649" s="1"/>
      <c r="G649" s="1"/>
      <c r="H649" s="2"/>
      <c r="X649" s="1"/>
      <c r="AF649" s="5"/>
      <c r="AN649" s="5"/>
    </row>
    <row r="650" spans="6:40" x14ac:dyDescent="0.55000000000000004">
      <c r="F650" s="1"/>
      <c r="G650" s="1"/>
      <c r="H650" s="2"/>
      <c r="X650" s="1"/>
    </row>
    <row r="651" spans="6:40" x14ac:dyDescent="0.55000000000000004">
      <c r="F651" s="1"/>
      <c r="G651" s="1"/>
      <c r="H651" s="2"/>
      <c r="X651" s="1"/>
    </row>
    <row r="652" spans="6:40" x14ac:dyDescent="0.55000000000000004">
      <c r="F652" s="1"/>
      <c r="G652" s="1"/>
      <c r="H652" s="2"/>
      <c r="X652" s="1"/>
    </row>
    <row r="653" spans="6:40" x14ac:dyDescent="0.55000000000000004">
      <c r="F653" s="1"/>
      <c r="G653" s="1"/>
      <c r="H653" s="2"/>
      <c r="X653" s="1"/>
    </row>
    <row r="654" spans="6:40" x14ac:dyDescent="0.55000000000000004">
      <c r="F654" s="1"/>
      <c r="G654" s="1"/>
      <c r="H654" s="2"/>
      <c r="X654" s="1"/>
      <c r="AF654" s="4"/>
      <c r="AN654" s="4"/>
    </row>
    <row r="655" spans="6:40" x14ac:dyDescent="0.55000000000000004">
      <c r="F655" s="1"/>
      <c r="H655" s="2"/>
    </row>
    <row r="656" spans="6:40" x14ac:dyDescent="0.55000000000000004">
      <c r="F656" s="1"/>
      <c r="G656" s="1"/>
      <c r="H656" s="2"/>
      <c r="X656" s="1"/>
    </row>
    <row r="657" spans="6:40" x14ac:dyDescent="0.55000000000000004">
      <c r="F657" s="1"/>
      <c r="G657" s="1"/>
      <c r="H657" s="2"/>
      <c r="X657" s="1"/>
      <c r="AF657" s="4"/>
      <c r="AN657" s="4"/>
    </row>
    <row r="658" spans="6:40" x14ac:dyDescent="0.55000000000000004">
      <c r="F658" s="1"/>
      <c r="G658" s="1"/>
      <c r="H658" s="2"/>
      <c r="X658" s="1"/>
    </row>
    <row r="659" spans="6:40" x14ac:dyDescent="0.55000000000000004">
      <c r="F659" s="1"/>
      <c r="G659" s="1"/>
      <c r="H659" s="2"/>
      <c r="X659" s="1"/>
    </row>
    <row r="660" spans="6:40" x14ac:dyDescent="0.55000000000000004">
      <c r="F660" s="1"/>
      <c r="G660" s="1"/>
      <c r="H660" s="2"/>
      <c r="X660" s="1"/>
    </row>
    <row r="661" spans="6:40" x14ac:dyDescent="0.55000000000000004">
      <c r="F661" s="1"/>
      <c r="G661" s="1"/>
      <c r="H661" s="2"/>
      <c r="X661" s="1"/>
    </row>
    <row r="662" spans="6:40" x14ac:dyDescent="0.55000000000000004">
      <c r="F662" s="1"/>
      <c r="G662" s="1"/>
      <c r="H662" s="2"/>
      <c r="X662" s="1"/>
    </row>
    <row r="663" spans="6:40" x14ac:dyDescent="0.55000000000000004">
      <c r="F663" s="1"/>
      <c r="G663" s="1"/>
      <c r="H663" s="2"/>
      <c r="X663" s="1"/>
      <c r="AF663" s="4"/>
      <c r="AN663" s="4"/>
    </row>
    <row r="664" spans="6:40" x14ac:dyDescent="0.55000000000000004">
      <c r="F664" s="1"/>
      <c r="G664" s="1"/>
      <c r="H664" s="2"/>
      <c r="X664" s="1"/>
    </row>
    <row r="665" spans="6:40" x14ac:dyDescent="0.55000000000000004">
      <c r="F665" s="1"/>
      <c r="G665" s="1"/>
      <c r="H665" s="2"/>
      <c r="X665" s="1"/>
    </row>
    <row r="666" spans="6:40" x14ac:dyDescent="0.55000000000000004">
      <c r="F666" s="1"/>
      <c r="G666" s="1"/>
      <c r="H666" s="2"/>
      <c r="X666" s="1"/>
    </row>
    <row r="667" spans="6:40" x14ac:dyDescent="0.55000000000000004">
      <c r="F667" s="1"/>
      <c r="G667" s="1"/>
      <c r="H667" s="2"/>
      <c r="X667" s="1"/>
    </row>
    <row r="668" spans="6:40" x14ac:dyDescent="0.55000000000000004">
      <c r="F668" s="1"/>
      <c r="G668" s="1"/>
      <c r="H668" s="2"/>
      <c r="X668" s="1"/>
    </row>
    <row r="669" spans="6:40" x14ac:dyDescent="0.55000000000000004">
      <c r="F669" s="1"/>
      <c r="G669" s="1"/>
      <c r="H669" s="2"/>
      <c r="X669" s="1"/>
      <c r="AF669" s="5"/>
      <c r="AN669" s="5"/>
    </row>
    <row r="670" spans="6:40" x14ac:dyDescent="0.55000000000000004">
      <c r="F670" s="1"/>
      <c r="G670" s="1"/>
      <c r="H670" s="2"/>
      <c r="X670" s="1"/>
    </row>
    <row r="671" spans="6:40" x14ac:dyDescent="0.55000000000000004">
      <c r="F671" s="1"/>
      <c r="G671" s="1"/>
      <c r="H671" s="2"/>
      <c r="X671" s="1"/>
    </row>
    <row r="672" spans="6:40" x14ac:dyDescent="0.55000000000000004">
      <c r="F672" s="1"/>
      <c r="G672" s="1"/>
      <c r="H672" s="2"/>
      <c r="X672" s="1"/>
    </row>
    <row r="673" spans="6:40" x14ac:dyDescent="0.55000000000000004">
      <c r="F673" s="1"/>
      <c r="G673" s="1"/>
      <c r="H673" s="2"/>
      <c r="X673" s="1"/>
    </row>
    <row r="674" spans="6:40" x14ac:dyDescent="0.55000000000000004">
      <c r="F674" s="1"/>
      <c r="G674" s="1"/>
      <c r="H674" s="2"/>
      <c r="X674" s="1"/>
    </row>
    <row r="675" spans="6:40" x14ac:dyDescent="0.55000000000000004">
      <c r="F675" s="1"/>
      <c r="G675" s="1"/>
      <c r="H675" s="2"/>
      <c r="X675" s="1"/>
      <c r="AF675" s="4"/>
      <c r="AN675" s="4"/>
    </row>
    <row r="676" spans="6:40" x14ac:dyDescent="0.55000000000000004">
      <c r="F676" s="1"/>
      <c r="G676" s="1"/>
      <c r="H676" s="2"/>
      <c r="X676" s="1"/>
    </row>
    <row r="677" spans="6:40" x14ac:dyDescent="0.55000000000000004">
      <c r="F677" s="1"/>
      <c r="G677" s="1"/>
      <c r="H677" s="2"/>
      <c r="X677" s="1"/>
    </row>
    <row r="678" spans="6:40" x14ac:dyDescent="0.55000000000000004">
      <c r="F678" s="1"/>
      <c r="G678" s="1"/>
      <c r="H678" s="2"/>
      <c r="X678" s="1"/>
    </row>
    <row r="679" spans="6:40" x14ac:dyDescent="0.55000000000000004">
      <c r="F679" s="1"/>
      <c r="G679" s="1"/>
      <c r="H679" s="2"/>
      <c r="X679" s="1"/>
    </row>
    <row r="680" spans="6:40" x14ac:dyDescent="0.55000000000000004">
      <c r="F680" s="1"/>
      <c r="G680" s="1"/>
      <c r="H680" s="2"/>
      <c r="X680" s="1"/>
    </row>
    <row r="681" spans="6:40" x14ac:dyDescent="0.55000000000000004">
      <c r="F681" s="1"/>
      <c r="G681" s="1"/>
      <c r="H681" s="2"/>
      <c r="X681" s="1"/>
    </row>
    <row r="682" spans="6:40" x14ac:dyDescent="0.55000000000000004">
      <c r="F682" s="1"/>
      <c r="G682" s="1"/>
      <c r="H682" s="2"/>
      <c r="X682" s="1"/>
    </row>
    <row r="683" spans="6:40" x14ac:dyDescent="0.55000000000000004">
      <c r="F683" s="1"/>
      <c r="G683" s="1"/>
      <c r="H683" s="2"/>
      <c r="X683" s="1"/>
    </row>
    <row r="684" spans="6:40" x14ac:dyDescent="0.55000000000000004">
      <c r="F684" s="1"/>
      <c r="G684" s="1"/>
      <c r="H684" s="2"/>
      <c r="X684" s="1"/>
    </row>
    <row r="685" spans="6:40" x14ac:dyDescent="0.55000000000000004">
      <c r="F685" s="1"/>
      <c r="G685" s="1"/>
      <c r="H685" s="2"/>
      <c r="X685" s="1"/>
      <c r="AF685" s="4"/>
      <c r="AN685" s="4"/>
    </row>
    <row r="686" spans="6:40" x14ac:dyDescent="0.55000000000000004">
      <c r="F686" s="1"/>
      <c r="G686" s="1"/>
      <c r="H686" s="2"/>
      <c r="X686" s="1"/>
    </row>
    <row r="687" spans="6:40" x14ac:dyDescent="0.55000000000000004">
      <c r="F687" s="1"/>
      <c r="G687" s="1"/>
      <c r="H687" s="2"/>
      <c r="X687" s="1"/>
    </row>
    <row r="688" spans="6:40" x14ac:dyDescent="0.55000000000000004">
      <c r="F688" s="1"/>
      <c r="G688" s="1"/>
      <c r="H688" s="2"/>
      <c r="X688" s="1"/>
    </row>
    <row r="689" spans="6:40" x14ac:dyDescent="0.55000000000000004">
      <c r="F689" s="1"/>
      <c r="G689" s="1"/>
      <c r="H689" s="2"/>
      <c r="X689" s="1"/>
    </row>
    <row r="690" spans="6:40" x14ac:dyDescent="0.55000000000000004">
      <c r="F690" s="1"/>
      <c r="G690" s="1"/>
      <c r="H690" s="2"/>
      <c r="X690" s="1"/>
      <c r="AF690" s="4"/>
      <c r="AN690" s="4"/>
    </row>
    <row r="691" spans="6:40" x14ac:dyDescent="0.55000000000000004">
      <c r="F691" s="1"/>
      <c r="G691" s="1"/>
      <c r="H691" s="2"/>
      <c r="X691" s="1"/>
    </row>
    <row r="692" spans="6:40" x14ac:dyDescent="0.55000000000000004">
      <c r="F692" s="1"/>
      <c r="G692" s="1"/>
      <c r="H692" s="2"/>
      <c r="X692" s="1"/>
    </row>
    <row r="693" spans="6:40" x14ac:dyDescent="0.55000000000000004">
      <c r="F693" s="1"/>
      <c r="G693" s="1"/>
      <c r="H693" s="2"/>
      <c r="X693" s="1"/>
    </row>
    <row r="694" spans="6:40" x14ac:dyDescent="0.55000000000000004">
      <c r="F694" s="1"/>
      <c r="G694" s="1"/>
      <c r="H694" s="2"/>
      <c r="X694" s="1"/>
    </row>
    <row r="695" spans="6:40" x14ac:dyDescent="0.55000000000000004">
      <c r="F695" s="1"/>
      <c r="G695" s="1"/>
      <c r="H695" s="2"/>
      <c r="X695" s="1"/>
    </row>
    <row r="696" spans="6:40" x14ac:dyDescent="0.55000000000000004">
      <c r="F696" s="1"/>
      <c r="G696" s="1"/>
      <c r="H696" s="2"/>
      <c r="X696" s="1"/>
      <c r="AF696" s="5"/>
      <c r="AN696" s="5"/>
    </row>
    <row r="697" spans="6:40" x14ac:dyDescent="0.55000000000000004">
      <c r="F697" s="1"/>
      <c r="G697" s="1"/>
      <c r="H697" s="2"/>
      <c r="X697" s="1"/>
    </row>
    <row r="698" spans="6:40" x14ac:dyDescent="0.55000000000000004">
      <c r="F698" s="1"/>
      <c r="G698" s="1"/>
      <c r="H698" s="2"/>
      <c r="X698" s="1"/>
    </row>
    <row r="699" spans="6:40" x14ac:dyDescent="0.55000000000000004">
      <c r="F699" s="1"/>
      <c r="G699" s="1"/>
      <c r="H699" s="2"/>
      <c r="X699" s="1"/>
    </row>
    <row r="700" spans="6:40" x14ac:dyDescent="0.55000000000000004">
      <c r="F700" s="1"/>
      <c r="G700" s="1"/>
      <c r="H700" s="2"/>
      <c r="X700" s="1"/>
    </row>
    <row r="701" spans="6:40" x14ac:dyDescent="0.55000000000000004">
      <c r="F701" s="1"/>
      <c r="G701" s="1"/>
      <c r="H701" s="2"/>
      <c r="X701" s="1"/>
    </row>
    <row r="702" spans="6:40" x14ac:dyDescent="0.55000000000000004">
      <c r="F702" s="1"/>
      <c r="G702" s="1"/>
      <c r="H702" s="2"/>
      <c r="X702" s="1"/>
    </row>
    <row r="703" spans="6:40" x14ac:dyDescent="0.55000000000000004">
      <c r="F703" s="1"/>
      <c r="G703" s="1"/>
      <c r="H703" s="2"/>
      <c r="X703" s="1"/>
    </row>
    <row r="704" spans="6:40" x14ac:dyDescent="0.55000000000000004">
      <c r="F704" s="1"/>
      <c r="G704" s="1"/>
      <c r="H704" s="2"/>
      <c r="X704" s="1"/>
    </row>
    <row r="705" spans="6:40" x14ac:dyDescent="0.55000000000000004">
      <c r="F705" s="1"/>
      <c r="G705" s="1"/>
      <c r="H705" s="2"/>
      <c r="X705" s="1"/>
    </row>
    <row r="706" spans="6:40" x14ac:dyDescent="0.55000000000000004">
      <c r="F706" s="1"/>
      <c r="G706" s="1"/>
      <c r="H706" s="2"/>
      <c r="X706" s="1"/>
    </row>
    <row r="707" spans="6:40" x14ac:dyDescent="0.55000000000000004">
      <c r="F707" s="1"/>
      <c r="G707" s="1"/>
      <c r="H707" s="2"/>
      <c r="X707" s="1"/>
      <c r="AF707" s="3"/>
      <c r="AN707" s="3"/>
    </row>
    <row r="708" spans="6:40" x14ac:dyDescent="0.55000000000000004">
      <c r="F708" s="1"/>
      <c r="G708" s="1"/>
      <c r="H708" s="2"/>
      <c r="X708" s="1"/>
    </row>
    <row r="709" spans="6:40" x14ac:dyDescent="0.55000000000000004">
      <c r="F709" s="1"/>
      <c r="G709" s="1"/>
      <c r="H709" s="2"/>
      <c r="X709" s="1"/>
    </row>
    <row r="710" spans="6:40" x14ac:dyDescent="0.55000000000000004">
      <c r="F710" s="1"/>
      <c r="G710" s="1"/>
      <c r="H710" s="2"/>
      <c r="X710" s="1"/>
    </row>
    <row r="711" spans="6:40" x14ac:dyDescent="0.55000000000000004">
      <c r="F711" s="1"/>
      <c r="G711" s="1"/>
      <c r="H711" s="2"/>
      <c r="X711" s="1"/>
    </row>
    <row r="712" spans="6:40" x14ac:dyDescent="0.55000000000000004">
      <c r="F712" s="1"/>
      <c r="H712" s="2"/>
    </row>
    <row r="713" spans="6:40" x14ac:dyDescent="0.55000000000000004">
      <c r="F713" s="1"/>
      <c r="G713" s="1"/>
      <c r="H713" s="2"/>
      <c r="X713" s="1"/>
    </row>
    <row r="714" spans="6:40" x14ac:dyDescent="0.55000000000000004">
      <c r="F714" s="1"/>
      <c r="G714" s="1"/>
      <c r="H714" s="2"/>
      <c r="X714" s="1"/>
    </row>
    <row r="715" spans="6:40" x14ac:dyDescent="0.55000000000000004">
      <c r="F715" s="1"/>
      <c r="G715" s="1"/>
      <c r="H715" s="2"/>
      <c r="X715" s="1"/>
    </row>
    <row r="716" spans="6:40" x14ac:dyDescent="0.55000000000000004">
      <c r="F716" s="1"/>
      <c r="G716" s="1"/>
      <c r="H716" s="2"/>
      <c r="X716" s="1"/>
    </row>
    <row r="717" spans="6:40" x14ac:dyDescent="0.55000000000000004">
      <c r="F717" s="1"/>
      <c r="G717" s="1"/>
      <c r="H717" s="2"/>
      <c r="X717" s="1"/>
    </row>
    <row r="718" spans="6:40" x14ac:dyDescent="0.55000000000000004">
      <c r="F718" s="1"/>
      <c r="G718" s="1"/>
      <c r="H718" s="2"/>
      <c r="X718" s="1"/>
      <c r="AF718" s="4"/>
      <c r="AN718" s="4"/>
    </row>
    <row r="719" spans="6:40" x14ac:dyDescent="0.55000000000000004">
      <c r="F719" s="1"/>
      <c r="G719" s="1"/>
      <c r="H719" s="2"/>
      <c r="X719" s="1"/>
    </row>
    <row r="720" spans="6:40" x14ac:dyDescent="0.55000000000000004">
      <c r="F720" s="1"/>
      <c r="G720" s="1"/>
      <c r="H720" s="2"/>
      <c r="X720" s="1"/>
    </row>
    <row r="721" spans="6:40" x14ac:dyDescent="0.55000000000000004">
      <c r="F721" s="1"/>
      <c r="G721" s="1"/>
      <c r="H721" s="2"/>
      <c r="X721" s="1"/>
    </row>
    <row r="722" spans="6:40" x14ac:dyDescent="0.55000000000000004">
      <c r="F722" s="1"/>
      <c r="G722" s="1"/>
      <c r="H722" s="2"/>
      <c r="X722" s="1"/>
    </row>
    <row r="723" spans="6:40" x14ac:dyDescent="0.55000000000000004">
      <c r="F723" s="1"/>
      <c r="G723" s="1"/>
      <c r="H723" s="2"/>
      <c r="X723" s="1"/>
    </row>
    <row r="724" spans="6:40" x14ac:dyDescent="0.55000000000000004">
      <c r="F724" s="1"/>
      <c r="G724" s="1"/>
      <c r="H724" s="2"/>
      <c r="X724" s="1"/>
    </row>
    <row r="725" spans="6:40" x14ac:dyDescent="0.55000000000000004">
      <c r="F725" s="1"/>
      <c r="G725" s="1"/>
      <c r="H725" s="2"/>
      <c r="X725" s="1"/>
    </row>
    <row r="726" spans="6:40" x14ac:dyDescent="0.55000000000000004">
      <c r="F726" s="1"/>
      <c r="G726" s="1"/>
      <c r="H726" s="2"/>
      <c r="X726" s="1"/>
    </row>
    <row r="727" spans="6:40" x14ac:dyDescent="0.55000000000000004">
      <c r="F727" s="1"/>
      <c r="G727" s="1"/>
      <c r="H727" s="2"/>
      <c r="X727" s="1"/>
    </row>
    <row r="728" spans="6:40" x14ac:dyDescent="0.55000000000000004">
      <c r="F728" s="1"/>
      <c r="G728" s="1"/>
      <c r="H728" s="2"/>
      <c r="X728" s="1"/>
    </row>
    <row r="729" spans="6:40" x14ac:dyDescent="0.55000000000000004">
      <c r="F729" s="1"/>
      <c r="G729" s="1"/>
      <c r="H729" s="2"/>
      <c r="X729" s="1"/>
      <c r="AF729" s="5"/>
      <c r="AN729" s="5"/>
    </row>
    <row r="730" spans="6:40" x14ac:dyDescent="0.55000000000000004">
      <c r="F730" s="1"/>
      <c r="G730" s="1"/>
      <c r="H730" s="2"/>
      <c r="X730" s="1"/>
    </row>
    <row r="731" spans="6:40" x14ac:dyDescent="0.55000000000000004">
      <c r="F731" s="1"/>
      <c r="G731" s="1"/>
      <c r="H731" s="2"/>
      <c r="X731" s="1"/>
    </row>
    <row r="732" spans="6:40" x14ac:dyDescent="0.55000000000000004">
      <c r="F732" s="1"/>
      <c r="H732" s="2"/>
    </row>
    <row r="733" spans="6:40" x14ac:dyDescent="0.55000000000000004">
      <c r="F733" s="1"/>
      <c r="G733" s="1"/>
      <c r="H733" s="2"/>
      <c r="X733" s="1"/>
    </row>
    <row r="734" spans="6:40" x14ac:dyDescent="0.55000000000000004">
      <c r="F734" s="1"/>
      <c r="G734" s="1"/>
      <c r="H734" s="2"/>
      <c r="X734" s="1"/>
    </row>
    <row r="735" spans="6:40" x14ac:dyDescent="0.55000000000000004">
      <c r="F735" s="1"/>
      <c r="G735" s="1"/>
      <c r="H735" s="2"/>
      <c r="X735" s="1"/>
    </row>
    <row r="736" spans="6:40" x14ac:dyDescent="0.55000000000000004">
      <c r="F736" s="1"/>
      <c r="G736" s="1"/>
      <c r="H736" s="2"/>
      <c r="X736" s="1"/>
    </row>
    <row r="737" spans="6:40" x14ac:dyDescent="0.55000000000000004">
      <c r="F737" s="1"/>
      <c r="G737" s="1"/>
      <c r="H737" s="2"/>
      <c r="X737" s="1"/>
    </row>
    <row r="738" spans="6:40" x14ac:dyDescent="0.55000000000000004">
      <c r="F738" s="1"/>
      <c r="G738" s="1"/>
      <c r="H738" s="2"/>
      <c r="X738" s="1"/>
    </row>
    <row r="739" spans="6:40" x14ac:dyDescent="0.55000000000000004">
      <c r="F739" s="1"/>
      <c r="G739" s="1"/>
      <c r="H739" s="2"/>
      <c r="X739" s="1"/>
    </row>
    <row r="740" spans="6:40" x14ac:dyDescent="0.55000000000000004">
      <c r="F740" s="1"/>
      <c r="G740" s="1"/>
      <c r="H740" s="2"/>
      <c r="X740" s="1"/>
    </row>
    <row r="741" spans="6:40" x14ac:dyDescent="0.55000000000000004">
      <c r="F741" s="1"/>
      <c r="G741" s="1"/>
      <c r="H741" s="2"/>
      <c r="X741" s="1"/>
      <c r="AF741" s="4"/>
      <c r="AN741" s="4"/>
    </row>
    <row r="742" spans="6:40" x14ac:dyDescent="0.55000000000000004">
      <c r="F742" s="1"/>
      <c r="G742" s="1"/>
      <c r="H742" s="2"/>
      <c r="X742" s="1"/>
      <c r="AF742" s="4"/>
      <c r="AN742" s="4"/>
    </row>
    <row r="743" spans="6:40" x14ac:dyDescent="0.55000000000000004">
      <c r="F743" s="1"/>
      <c r="G743" s="1"/>
      <c r="H743" s="2"/>
      <c r="X743" s="1"/>
    </row>
    <row r="744" spans="6:40" x14ac:dyDescent="0.55000000000000004">
      <c r="F744" s="1"/>
      <c r="G744" s="1"/>
      <c r="H744" s="2"/>
      <c r="X744" s="1"/>
      <c r="AF744" s="4"/>
      <c r="AN744" s="4"/>
    </row>
    <row r="745" spans="6:40" x14ac:dyDescent="0.55000000000000004">
      <c r="F745" s="1"/>
      <c r="G745" s="1"/>
      <c r="H745" s="2"/>
      <c r="X745" s="1"/>
    </row>
    <row r="746" spans="6:40" x14ac:dyDescent="0.55000000000000004">
      <c r="F746" s="1"/>
      <c r="G746" s="1"/>
      <c r="H746" s="2"/>
      <c r="X746" s="1"/>
    </row>
    <row r="747" spans="6:40" x14ac:dyDescent="0.55000000000000004">
      <c r="F747" s="1"/>
      <c r="G747" s="1"/>
      <c r="H747" s="2"/>
      <c r="X747" s="1"/>
    </row>
    <row r="748" spans="6:40" x14ac:dyDescent="0.55000000000000004">
      <c r="F748" s="1"/>
      <c r="G748" s="1"/>
      <c r="H748" s="2"/>
      <c r="X748" s="1"/>
    </row>
    <row r="749" spans="6:40" x14ac:dyDescent="0.55000000000000004">
      <c r="F749" s="1"/>
      <c r="G749" s="1"/>
      <c r="H749" s="2"/>
      <c r="X749" s="1"/>
    </row>
    <row r="750" spans="6:40" x14ac:dyDescent="0.55000000000000004">
      <c r="F750" s="1"/>
      <c r="G750" s="1"/>
      <c r="H750" s="2"/>
      <c r="X750" s="1"/>
    </row>
    <row r="751" spans="6:40" x14ac:dyDescent="0.55000000000000004">
      <c r="F751" s="1"/>
      <c r="G751" s="1"/>
      <c r="H751" s="2"/>
      <c r="X751" s="1"/>
    </row>
    <row r="752" spans="6:40" x14ac:dyDescent="0.55000000000000004">
      <c r="F752" s="1"/>
      <c r="G752" s="1"/>
      <c r="H752" s="2"/>
      <c r="X752" s="1"/>
    </row>
    <row r="753" spans="6:40" x14ac:dyDescent="0.55000000000000004">
      <c r="F753" s="1"/>
      <c r="G753" s="1"/>
      <c r="H753" s="2"/>
      <c r="X753" s="1"/>
    </row>
    <row r="754" spans="6:40" x14ac:dyDescent="0.55000000000000004">
      <c r="F754" s="1"/>
      <c r="G754" s="1"/>
      <c r="H754" s="2"/>
      <c r="X754" s="1"/>
    </row>
    <row r="755" spans="6:40" x14ac:dyDescent="0.55000000000000004">
      <c r="F755" s="1"/>
      <c r="G755" s="1"/>
      <c r="H755" s="2"/>
      <c r="X755" s="1"/>
    </row>
    <row r="756" spans="6:40" x14ac:dyDescent="0.55000000000000004">
      <c r="F756" s="1"/>
      <c r="G756" s="1"/>
      <c r="H756" s="2"/>
      <c r="X756" s="1"/>
      <c r="AF756" s="4"/>
      <c r="AN756" s="4"/>
    </row>
    <row r="757" spans="6:40" x14ac:dyDescent="0.55000000000000004">
      <c r="F757" s="1"/>
      <c r="G757" s="1"/>
      <c r="H757" s="2"/>
      <c r="X757" s="1"/>
    </row>
    <row r="758" spans="6:40" x14ac:dyDescent="0.55000000000000004">
      <c r="F758" s="1"/>
      <c r="G758" s="1"/>
      <c r="H758" s="2"/>
      <c r="X758" s="1"/>
    </row>
    <row r="759" spans="6:40" x14ac:dyDescent="0.55000000000000004">
      <c r="F759" s="1"/>
      <c r="G759" s="1"/>
      <c r="H759" s="2"/>
      <c r="X759" s="1"/>
    </row>
    <row r="760" spans="6:40" x14ac:dyDescent="0.55000000000000004">
      <c r="F760" s="1"/>
      <c r="G760" s="1"/>
      <c r="H760" s="2"/>
      <c r="X760" s="1"/>
    </row>
    <row r="761" spans="6:40" x14ac:dyDescent="0.55000000000000004">
      <c r="F761" s="1"/>
      <c r="G761" s="1"/>
      <c r="H761" s="2"/>
      <c r="X761" s="1"/>
    </row>
    <row r="762" spans="6:40" x14ac:dyDescent="0.55000000000000004">
      <c r="F762" s="1"/>
      <c r="G762" s="1"/>
      <c r="H762" s="2"/>
      <c r="X762" s="1"/>
    </row>
    <row r="763" spans="6:40" x14ac:dyDescent="0.55000000000000004">
      <c r="F763" s="1"/>
      <c r="G763" s="1"/>
      <c r="H763" s="2"/>
      <c r="X763" s="1"/>
    </row>
    <row r="764" spans="6:40" x14ac:dyDescent="0.55000000000000004">
      <c r="F764" s="1"/>
      <c r="G764" s="1"/>
      <c r="H764" s="2"/>
      <c r="X764" s="1"/>
    </row>
    <row r="765" spans="6:40" x14ac:dyDescent="0.55000000000000004">
      <c r="F765" s="1"/>
      <c r="G765" s="1"/>
      <c r="H765" s="2"/>
      <c r="X765" s="1"/>
    </row>
    <row r="766" spans="6:40" x14ac:dyDescent="0.55000000000000004">
      <c r="F766" s="1"/>
      <c r="G766" s="1"/>
      <c r="H766" s="2"/>
      <c r="X766" s="1"/>
    </row>
    <row r="767" spans="6:40" x14ac:dyDescent="0.55000000000000004">
      <c r="F767" s="1"/>
      <c r="G767" s="1"/>
      <c r="H767" s="2"/>
      <c r="X767" s="1"/>
    </row>
    <row r="768" spans="6:40" x14ac:dyDescent="0.55000000000000004">
      <c r="F768" s="1"/>
      <c r="G768" s="1"/>
      <c r="H768" s="2"/>
      <c r="X768" s="1"/>
    </row>
    <row r="769" spans="6:42" x14ac:dyDescent="0.55000000000000004">
      <c r="F769" s="1"/>
      <c r="G769" s="1"/>
      <c r="H769" s="2"/>
      <c r="X769" s="1"/>
    </row>
    <row r="770" spans="6:42" x14ac:dyDescent="0.55000000000000004">
      <c r="F770" s="1"/>
      <c r="G770" s="1"/>
      <c r="H770" s="2"/>
      <c r="X770" s="1"/>
    </row>
    <row r="771" spans="6:42" x14ac:dyDescent="0.55000000000000004">
      <c r="F771" s="1"/>
      <c r="G771" s="1"/>
      <c r="H771" s="2"/>
      <c r="X771" s="1"/>
    </row>
    <row r="772" spans="6:42" x14ac:dyDescent="0.55000000000000004">
      <c r="F772" s="1"/>
      <c r="G772" s="1"/>
      <c r="H772" s="2"/>
      <c r="X772" s="1"/>
    </row>
    <row r="773" spans="6:42" x14ac:dyDescent="0.55000000000000004">
      <c r="F773" s="1"/>
      <c r="G773" s="1"/>
      <c r="H773" s="2"/>
      <c r="X773" s="1"/>
    </row>
    <row r="774" spans="6:42" x14ac:dyDescent="0.55000000000000004">
      <c r="F774" s="1"/>
      <c r="G774" s="1"/>
      <c r="H774" s="2"/>
      <c r="X774" s="1"/>
      <c r="AP774" s="2"/>
    </row>
    <row r="775" spans="6:42" x14ac:dyDescent="0.55000000000000004">
      <c r="F775" s="1"/>
      <c r="G775" s="1"/>
      <c r="H775" s="2"/>
      <c r="X775" s="1"/>
      <c r="AF775" s="4"/>
      <c r="AN775" s="4"/>
    </row>
    <row r="776" spans="6:42" x14ac:dyDescent="0.55000000000000004">
      <c r="F776" s="1"/>
      <c r="G776" s="1"/>
      <c r="H776" s="2"/>
      <c r="X776" s="1"/>
    </row>
    <row r="777" spans="6:42" x14ac:dyDescent="0.55000000000000004">
      <c r="F777" s="1"/>
      <c r="G777" s="1"/>
      <c r="H777" s="2"/>
      <c r="X777" s="1"/>
    </row>
    <row r="778" spans="6:42" x14ac:dyDescent="0.55000000000000004">
      <c r="F778" s="1"/>
      <c r="G778" s="1"/>
      <c r="H778" s="2"/>
      <c r="X778" s="1"/>
    </row>
    <row r="779" spans="6:42" x14ac:dyDescent="0.55000000000000004">
      <c r="F779" s="1"/>
      <c r="G779" s="1"/>
      <c r="H779" s="2"/>
      <c r="X779" s="1"/>
    </row>
    <row r="780" spans="6:42" x14ac:dyDescent="0.55000000000000004">
      <c r="F780" s="1"/>
      <c r="G780" s="1"/>
      <c r="H780" s="2"/>
      <c r="X780" s="1"/>
    </row>
    <row r="781" spans="6:42" x14ac:dyDescent="0.55000000000000004">
      <c r="F781" s="1"/>
      <c r="G781" s="1"/>
      <c r="H781" s="2"/>
      <c r="X781" s="1"/>
    </row>
    <row r="782" spans="6:42" x14ac:dyDescent="0.55000000000000004">
      <c r="F782" s="1"/>
      <c r="G782" s="1"/>
      <c r="H782" s="2"/>
      <c r="X782" s="1"/>
    </row>
    <row r="783" spans="6:42" x14ac:dyDescent="0.55000000000000004">
      <c r="F783" s="1"/>
      <c r="G783" s="1"/>
      <c r="H783" s="2"/>
      <c r="X783" s="1"/>
      <c r="AF783" s="4"/>
      <c r="AN783" s="4"/>
    </row>
    <row r="784" spans="6:42" x14ac:dyDescent="0.55000000000000004">
      <c r="F784" s="1"/>
      <c r="G784" s="1"/>
      <c r="H784" s="2"/>
      <c r="X784" s="1"/>
    </row>
    <row r="785" spans="6:40" x14ac:dyDescent="0.55000000000000004">
      <c r="F785" s="1"/>
      <c r="G785" s="1"/>
      <c r="H785" s="2"/>
      <c r="X785" s="1"/>
    </row>
    <row r="786" spans="6:40" x14ac:dyDescent="0.55000000000000004">
      <c r="F786" s="1"/>
      <c r="G786" s="1"/>
      <c r="H786" s="2"/>
      <c r="X786" s="1"/>
    </row>
    <row r="787" spans="6:40" x14ac:dyDescent="0.55000000000000004">
      <c r="F787" s="1"/>
      <c r="G787" s="1"/>
      <c r="H787" s="2"/>
      <c r="X787" s="1"/>
    </row>
    <row r="788" spans="6:40" x14ac:dyDescent="0.55000000000000004">
      <c r="F788" s="1"/>
      <c r="G788" s="1"/>
      <c r="H788" s="2"/>
      <c r="X788" s="1"/>
    </row>
    <row r="789" spans="6:40" x14ac:dyDescent="0.55000000000000004">
      <c r="F789" s="1"/>
      <c r="G789" s="1"/>
      <c r="H789" s="2"/>
      <c r="X789" s="1"/>
    </row>
    <row r="790" spans="6:40" x14ac:dyDescent="0.55000000000000004">
      <c r="F790" s="1"/>
      <c r="G790" s="1"/>
      <c r="H790" s="2"/>
      <c r="X790" s="1"/>
      <c r="AF790" s="4"/>
      <c r="AN790" s="4"/>
    </row>
    <row r="791" spans="6:40" x14ac:dyDescent="0.55000000000000004">
      <c r="F791" s="1"/>
      <c r="G791" s="1"/>
      <c r="H791" s="2"/>
      <c r="X791" s="1"/>
    </row>
    <row r="792" spans="6:40" x14ac:dyDescent="0.55000000000000004">
      <c r="F792" s="1"/>
      <c r="G792" s="1"/>
      <c r="H792" s="2"/>
      <c r="X792" s="1"/>
    </row>
    <row r="793" spans="6:40" x14ac:dyDescent="0.55000000000000004">
      <c r="F793" s="1"/>
      <c r="G793" s="1"/>
      <c r="H793" s="2"/>
      <c r="X793" s="1"/>
    </row>
    <row r="794" spans="6:40" x14ac:dyDescent="0.55000000000000004">
      <c r="F794" s="1"/>
      <c r="G794" s="1"/>
      <c r="H794" s="2"/>
      <c r="X794" s="1"/>
    </row>
    <row r="795" spans="6:40" x14ac:dyDescent="0.55000000000000004">
      <c r="F795" s="1"/>
      <c r="G795" s="1"/>
      <c r="H795" s="2"/>
      <c r="X795" s="1"/>
    </row>
    <row r="796" spans="6:40" x14ac:dyDescent="0.55000000000000004">
      <c r="F796" s="1"/>
      <c r="G796" s="1"/>
      <c r="H796" s="2"/>
      <c r="X796" s="1"/>
      <c r="AF796" s="4"/>
      <c r="AN796" s="4"/>
    </row>
    <row r="797" spans="6:40" x14ac:dyDescent="0.55000000000000004">
      <c r="F797" s="1"/>
      <c r="G797" s="1"/>
      <c r="H797" s="2"/>
      <c r="X797" s="1"/>
    </row>
    <row r="798" spans="6:40" x14ac:dyDescent="0.55000000000000004">
      <c r="F798" s="1"/>
      <c r="G798" s="1"/>
      <c r="H798" s="2"/>
      <c r="X798" s="1"/>
    </row>
    <row r="799" spans="6:40" x14ac:dyDescent="0.55000000000000004">
      <c r="F799" s="1"/>
      <c r="G799" s="1"/>
      <c r="H799" s="2"/>
      <c r="X799" s="1"/>
    </row>
    <row r="800" spans="6:40" x14ac:dyDescent="0.55000000000000004">
      <c r="F800" s="1"/>
      <c r="G800" s="1"/>
      <c r="H800" s="2"/>
      <c r="X800" s="1"/>
    </row>
    <row r="801" spans="6:40" x14ac:dyDescent="0.55000000000000004">
      <c r="F801" s="1"/>
      <c r="G801" s="1"/>
      <c r="H801" s="2"/>
      <c r="X801" s="1"/>
      <c r="AF801" s="4"/>
      <c r="AN801" s="4"/>
    </row>
    <row r="802" spans="6:40" x14ac:dyDescent="0.55000000000000004">
      <c r="F802" s="1"/>
      <c r="G802" s="1"/>
      <c r="H802" s="2"/>
      <c r="X802" s="1"/>
    </row>
    <row r="803" spans="6:40" x14ac:dyDescent="0.55000000000000004">
      <c r="F803" s="1"/>
      <c r="G803" s="1"/>
      <c r="H803" s="2"/>
      <c r="X803" s="1"/>
    </row>
    <row r="804" spans="6:40" x14ac:dyDescent="0.55000000000000004">
      <c r="F804" s="1"/>
      <c r="G804" s="1"/>
      <c r="H804" s="2"/>
      <c r="X804" s="1"/>
    </row>
    <row r="805" spans="6:40" x14ac:dyDescent="0.55000000000000004">
      <c r="F805" s="1"/>
      <c r="G805" s="1"/>
      <c r="H805" s="2"/>
      <c r="X805" s="1"/>
    </row>
    <row r="806" spans="6:40" x14ac:dyDescent="0.55000000000000004">
      <c r="F806" s="1"/>
      <c r="G806" s="1"/>
      <c r="H806" s="2"/>
      <c r="X806" s="1"/>
    </row>
    <row r="807" spans="6:40" x14ac:dyDescent="0.55000000000000004">
      <c r="F807" s="1"/>
      <c r="G807" s="1"/>
      <c r="H807" s="2"/>
      <c r="X807" s="1"/>
      <c r="AF807" s="4"/>
      <c r="AN807" s="4"/>
    </row>
    <row r="808" spans="6:40" x14ac:dyDescent="0.55000000000000004">
      <c r="F808" s="1"/>
      <c r="H808" s="2"/>
    </row>
    <row r="809" spans="6:40" x14ac:dyDescent="0.55000000000000004">
      <c r="F809" s="1"/>
      <c r="G809" s="1"/>
      <c r="H809" s="2"/>
      <c r="X809" s="1"/>
    </row>
    <row r="810" spans="6:40" x14ac:dyDescent="0.55000000000000004">
      <c r="F810" s="1"/>
      <c r="G810" s="1"/>
      <c r="H810" s="2"/>
      <c r="X810" s="1"/>
    </row>
    <row r="811" spans="6:40" x14ac:dyDescent="0.55000000000000004">
      <c r="F811" s="1"/>
      <c r="G811" s="1"/>
      <c r="H811" s="2"/>
      <c r="X811" s="1"/>
    </row>
    <row r="812" spans="6:40" x14ac:dyDescent="0.55000000000000004">
      <c r="F812" s="1"/>
      <c r="G812" s="1"/>
      <c r="H812" s="2"/>
      <c r="X812" s="1"/>
    </row>
    <row r="813" spans="6:40" x14ac:dyDescent="0.55000000000000004">
      <c r="F813" s="1"/>
      <c r="G813" s="1"/>
      <c r="H813" s="2"/>
      <c r="X813" s="1"/>
    </row>
    <row r="814" spans="6:40" x14ac:dyDescent="0.55000000000000004">
      <c r="F814" s="1"/>
      <c r="G814" s="1"/>
      <c r="H814" s="2"/>
      <c r="X814" s="1"/>
    </row>
    <row r="815" spans="6:40" x14ac:dyDescent="0.55000000000000004">
      <c r="F815" s="1"/>
      <c r="G815" s="1"/>
      <c r="H815" s="2"/>
      <c r="X815" s="1"/>
    </row>
    <row r="816" spans="6:40" x14ac:dyDescent="0.55000000000000004">
      <c r="F816" s="1"/>
      <c r="G816" s="1"/>
      <c r="H816" s="2"/>
      <c r="X816" s="1"/>
    </row>
    <row r="817" spans="6:40" x14ac:dyDescent="0.55000000000000004">
      <c r="F817" s="1"/>
      <c r="G817" s="1"/>
      <c r="H817" s="2"/>
      <c r="X817" s="1"/>
    </row>
    <row r="818" spans="6:40" x14ac:dyDescent="0.55000000000000004">
      <c r="F818" s="1"/>
      <c r="G818" s="1"/>
      <c r="H818" s="2"/>
      <c r="X818" s="1"/>
    </row>
    <row r="819" spans="6:40" x14ac:dyDescent="0.55000000000000004">
      <c r="F819" s="1"/>
      <c r="G819" s="1"/>
      <c r="H819" s="2"/>
      <c r="X819" s="1"/>
    </row>
    <row r="820" spans="6:40" x14ac:dyDescent="0.55000000000000004">
      <c r="F820" s="1"/>
      <c r="G820" s="1"/>
      <c r="H820" s="2"/>
      <c r="X820" s="1"/>
    </row>
    <row r="821" spans="6:40" x14ac:dyDescent="0.55000000000000004">
      <c r="F821" s="1"/>
      <c r="G821" s="1"/>
      <c r="H821" s="2"/>
      <c r="X821" s="1"/>
    </row>
    <row r="822" spans="6:40" x14ac:dyDescent="0.55000000000000004">
      <c r="F822" s="1"/>
      <c r="G822" s="1"/>
      <c r="H822" s="2"/>
      <c r="X822" s="1"/>
      <c r="AF822" s="4"/>
      <c r="AN822" s="4"/>
    </row>
    <row r="823" spans="6:40" x14ac:dyDescent="0.55000000000000004">
      <c r="F823" s="1"/>
      <c r="G823" s="1"/>
      <c r="H823" s="2"/>
      <c r="X823" s="1"/>
    </row>
    <row r="824" spans="6:40" x14ac:dyDescent="0.55000000000000004">
      <c r="F824" s="1"/>
      <c r="G824" s="1"/>
      <c r="H824" s="2"/>
      <c r="X824" s="1"/>
    </row>
    <row r="825" spans="6:40" x14ac:dyDescent="0.55000000000000004">
      <c r="F825" s="1"/>
      <c r="G825" s="1"/>
      <c r="H825" s="2"/>
      <c r="X825" s="1"/>
    </row>
    <row r="826" spans="6:40" x14ac:dyDescent="0.55000000000000004">
      <c r="F826" s="1"/>
      <c r="G826" s="1"/>
      <c r="H826" s="2"/>
      <c r="X826" s="1"/>
    </row>
    <row r="827" spans="6:40" x14ac:dyDescent="0.55000000000000004">
      <c r="F827" s="1"/>
      <c r="G827" s="1"/>
      <c r="H827" s="2"/>
      <c r="X827" s="1"/>
    </row>
    <row r="828" spans="6:40" x14ac:dyDescent="0.55000000000000004">
      <c r="F828" s="1"/>
      <c r="G828" s="1"/>
      <c r="H828" s="2"/>
      <c r="X828" s="1"/>
      <c r="AF828" s="4"/>
      <c r="AN828" s="4"/>
    </row>
    <row r="829" spans="6:40" x14ac:dyDescent="0.55000000000000004">
      <c r="F829" s="1"/>
      <c r="G829" s="1"/>
      <c r="H829" s="2"/>
      <c r="X829" s="1"/>
    </row>
    <row r="830" spans="6:40" x14ac:dyDescent="0.55000000000000004">
      <c r="F830" s="1"/>
      <c r="G830" s="1"/>
      <c r="H830" s="2"/>
      <c r="X830" s="1"/>
    </row>
    <row r="831" spans="6:40" x14ac:dyDescent="0.55000000000000004">
      <c r="F831" s="1"/>
      <c r="G831" s="1"/>
      <c r="H831" s="2"/>
      <c r="X831" s="1"/>
    </row>
    <row r="832" spans="6:40" x14ac:dyDescent="0.55000000000000004">
      <c r="F832" s="1"/>
      <c r="G832" s="1"/>
      <c r="H832" s="2"/>
      <c r="X832" s="1"/>
    </row>
    <row r="833" spans="6:40" x14ac:dyDescent="0.55000000000000004">
      <c r="F833" s="1"/>
      <c r="G833" s="1"/>
      <c r="H833" s="2"/>
      <c r="X833" s="1"/>
    </row>
    <row r="834" spans="6:40" x14ac:dyDescent="0.55000000000000004">
      <c r="F834" s="1"/>
      <c r="G834" s="1"/>
      <c r="H834" s="2"/>
      <c r="X834" s="1"/>
    </row>
    <row r="835" spans="6:40" x14ac:dyDescent="0.55000000000000004">
      <c r="F835" s="1"/>
      <c r="G835" s="1"/>
      <c r="H835" s="2"/>
      <c r="X835" s="1"/>
    </row>
    <row r="836" spans="6:40" x14ac:dyDescent="0.55000000000000004">
      <c r="F836" s="1"/>
      <c r="G836" s="1"/>
      <c r="H836" s="2"/>
      <c r="X836" s="1"/>
    </row>
    <row r="837" spans="6:40" x14ac:dyDescent="0.55000000000000004">
      <c r="F837" s="1"/>
      <c r="G837" s="1"/>
      <c r="H837" s="2"/>
      <c r="X837" s="1"/>
    </row>
    <row r="838" spans="6:40" x14ac:dyDescent="0.55000000000000004">
      <c r="F838" s="1"/>
      <c r="G838" s="1"/>
      <c r="H838" s="2"/>
      <c r="X838" s="1"/>
    </row>
    <row r="839" spans="6:40" x14ac:dyDescent="0.55000000000000004">
      <c r="F839" s="1"/>
      <c r="G839" s="1"/>
      <c r="H839" s="2"/>
      <c r="X839" s="1"/>
    </row>
    <row r="840" spans="6:40" x14ac:dyDescent="0.55000000000000004">
      <c r="F840" s="1"/>
      <c r="G840" s="1"/>
      <c r="H840" s="2"/>
      <c r="X840" s="1"/>
    </row>
    <row r="841" spans="6:40" x14ac:dyDescent="0.55000000000000004">
      <c r="F841" s="1"/>
      <c r="G841" s="1"/>
      <c r="H841" s="2"/>
      <c r="X841" s="1"/>
    </row>
    <row r="842" spans="6:40" x14ac:dyDescent="0.55000000000000004">
      <c r="F842" s="1"/>
      <c r="G842" s="1"/>
      <c r="H842" s="2"/>
      <c r="X842" s="1"/>
    </row>
    <row r="843" spans="6:40" x14ac:dyDescent="0.55000000000000004">
      <c r="F843" s="1"/>
      <c r="G843" s="1"/>
      <c r="H843" s="2"/>
      <c r="X843" s="1"/>
      <c r="AF843" s="4"/>
      <c r="AN843" s="4"/>
    </row>
    <row r="844" spans="6:40" x14ac:dyDescent="0.55000000000000004">
      <c r="F844" s="1"/>
      <c r="H844" s="2"/>
    </row>
    <row r="845" spans="6:40" x14ac:dyDescent="0.55000000000000004">
      <c r="F845" s="1"/>
      <c r="G845" s="1"/>
      <c r="H845" s="2"/>
      <c r="X845" s="1"/>
    </row>
    <row r="846" spans="6:40" x14ac:dyDescent="0.55000000000000004">
      <c r="F846" s="1"/>
      <c r="G846" s="1"/>
      <c r="H846" s="2"/>
      <c r="X846" s="1"/>
    </row>
    <row r="847" spans="6:40" x14ac:dyDescent="0.55000000000000004">
      <c r="F847" s="1"/>
      <c r="G847" s="1"/>
      <c r="H847" s="2"/>
      <c r="X847" s="1"/>
      <c r="AF847" s="4"/>
      <c r="AN847" s="4"/>
    </row>
    <row r="848" spans="6:40" x14ac:dyDescent="0.55000000000000004">
      <c r="F848" s="1"/>
      <c r="G848" s="1"/>
      <c r="H848" s="2"/>
      <c r="X848" s="1"/>
    </row>
    <row r="849" spans="6:40" x14ac:dyDescent="0.55000000000000004">
      <c r="F849" s="1"/>
      <c r="G849" s="1"/>
      <c r="H849" s="2"/>
      <c r="X849" s="1"/>
    </row>
    <row r="850" spans="6:40" x14ac:dyDescent="0.55000000000000004">
      <c r="F850" s="1"/>
      <c r="G850" s="1"/>
      <c r="H850" s="2"/>
      <c r="X850" s="1"/>
    </row>
    <row r="851" spans="6:40" x14ac:dyDescent="0.55000000000000004">
      <c r="F851" s="1"/>
      <c r="G851" s="1"/>
      <c r="H851" s="2"/>
      <c r="X851" s="1"/>
    </row>
    <row r="852" spans="6:40" x14ac:dyDescent="0.55000000000000004">
      <c r="F852" s="1"/>
      <c r="G852" s="1"/>
      <c r="H852" s="2"/>
      <c r="X852" s="1"/>
    </row>
    <row r="853" spans="6:40" x14ac:dyDescent="0.55000000000000004">
      <c r="F853" s="1"/>
      <c r="G853" s="1"/>
      <c r="H853" s="2"/>
      <c r="X853" s="1"/>
      <c r="AF853" s="4"/>
      <c r="AN853" s="4"/>
    </row>
    <row r="854" spans="6:40" x14ac:dyDescent="0.55000000000000004">
      <c r="F854" s="1"/>
      <c r="G854" s="1"/>
      <c r="H854" s="2"/>
      <c r="X854" s="1"/>
    </row>
    <row r="855" spans="6:40" x14ac:dyDescent="0.55000000000000004">
      <c r="F855" s="1"/>
      <c r="G855" s="1"/>
      <c r="H855" s="2"/>
      <c r="X855" s="1"/>
    </row>
    <row r="856" spans="6:40" x14ac:dyDescent="0.55000000000000004">
      <c r="F856" s="1"/>
      <c r="G856" s="1"/>
      <c r="H856" s="2"/>
      <c r="X856" s="1"/>
    </row>
    <row r="857" spans="6:40" x14ac:dyDescent="0.55000000000000004">
      <c r="F857" s="1"/>
      <c r="G857" s="1"/>
      <c r="H857" s="2"/>
      <c r="X857" s="1"/>
    </row>
    <row r="858" spans="6:40" x14ac:dyDescent="0.55000000000000004">
      <c r="F858" s="1"/>
      <c r="G858" s="1"/>
      <c r="H858" s="2"/>
      <c r="X858" s="1"/>
    </row>
    <row r="859" spans="6:40" x14ac:dyDescent="0.55000000000000004">
      <c r="F859" s="1"/>
      <c r="G859" s="1"/>
      <c r="H859" s="2"/>
      <c r="X859" s="1"/>
      <c r="AF859" s="4"/>
      <c r="AN859" s="4"/>
    </row>
    <row r="860" spans="6:40" x14ac:dyDescent="0.55000000000000004">
      <c r="F860" s="1"/>
      <c r="G860" s="1"/>
      <c r="H860" s="2"/>
      <c r="X860" s="1"/>
      <c r="AF860" s="4"/>
      <c r="AN860" s="4"/>
    </row>
    <row r="861" spans="6:40" x14ac:dyDescent="0.55000000000000004">
      <c r="F861" s="1"/>
      <c r="G861" s="1"/>
      <c r="H861" s="2"/>
      <c r="X861" s="1"/>
    </row>
    <row r="862" spans="6:40" x14ac:dyDescent="0.55000000000000004">
      <c r="F862" s="1"/>
      <c r="G862" s="1"/>
      <c r="H862" s="2"/>
      <c r="X862" s="1"/>
    </row>
    <row r="863" spans="6:40" x14ac:dyDescent="0.55000000000000004">
      <c r="F863" s="1"/>
      <c r="G863" s="1"/>
      <c r="H863" s="2"/>
      <c r="X863" s="1"/>
    </row>
    <row r="864" spans="6:40" x14ac:dyDescent="0.55000000000000004">
      <c r="F864" s="1"/>
      <c r="G864" s="1"/>
      <c r="H864" s="2"/>
      <c r="X864" s="1"/>
    </row>
    <row r="865" spans="6:40" x14ac:dyDescent="0.55000000000000004">
      <c r="F865" s="1"/>
      <c r="G865" s="1"/>
      <c r="H865" s="2"/>
      <c r="X865" s="1"/>
    </row>
    <row r="866" spans="6:40" x14ac:dyDescent="0.55000000000000004">
      <c r="F866" s="1"/>
      <c r="G866" s="1"/>
      <c r="H866" s="2"/>
      <c r="X866" s="1"/>
    </row>
    <row r="867" spans="6:40" x14ac:dyDescent="0.55000000000000004">
      <c r="F867" s="1"/>
      <c r="G867" s="1"/>
      <c r="H867" s="2"/>
      <c r="X867" s="1"/>
    </row>
    <row r="868" spans="6:40" x14ac:dyDescent="0.55000000000000004">
      <c r="F868" s="1"/>
      <c r="G868" s="1"/>
      <c r="H868" s="2"/>
      <c r="X868" s="1"/>
      <c r="AF868" s="4"/>
      <c r="AN868" s="4"/>
    </row>
    <row r="869" spans="6:40" x14ac:dyDescent="0.55000000000000004">
      <c r="F869" s="1"/>
      <c r="G869" s="1"/>
      <c r="H869" s="2"/>
      <c r="X869" s="1"/>
    </row>
    <row r="870" spans="6:40" x14ac:dyDescent="0.55000000000000004">
      <c r="F870" s="1"/>
      <c r="G870" s="1"/>
      <c r="H870" s="2"/>
      <c r="X870" s="1"/>
    </row>
    <row r="871" spans="6:40" x14ac:dyDescent="0.55000000000000004">
      <c r="F871" s="1"/>
      <c r="G871" s="1"/>
      <c r="H871" s="2"/>
      <c r="X871" s="1"/>
    </row>
    <row r="872" spans="6:40" x14ac:dyDescent="0.55000000000000004">
      <c r="F872" s="1"/>
      <c r="G872" s="1"/>
      <c r="H872" s="2"/>
      <c r="X872" s="1"/>
    </row>
    <row r="873" spans="6:40" x14ac:dyDescent="0.55000000000000004">
      <c r="F873" s="1"/>
      <c r="G873" s="1"/>
      <c r="H873" s="2"/>
      <c r="X873" s="1"/>
      <c r="AF873" s="5"/>
      <c r="AN873" s="5"/>
    </row>
    <row r="874" spans="6:40" x14ac:dyDescent="0.55000000000000004">
      <c r="F874" s="1"/>
      <c r="G874" s="1"/>
      <c r="H874" s="2"/>
      <c r="X874" s="1"/>
    </row>
    <row r="875" spans="6:40" x14ac:dyDescent="0.55000000000000004">
      <c r="F875" s="1"/>
      <c r="G875" s="1"/>
      <c r="H875" s="2"/>
      <c r="X875" s="1"/>
    </row>
    <row r="876" spans="6:40" x14ac:dyDescent="0.55000000000000004">
      <c r="F876" s="1"/>
      <c r="G876" s="1"/>
      <c r="H876" s="2"/>
      <c r="X876" s="1"/>
    </row>
    <row r="877" spans="6:40" x14ac:dyDescent="0.55000000000000004">
      <c r="F877" s="1"/>
      <c r="G877" s="1"/>
      <c r="H877" s="2"/>
      <c r="X877" s="1"/>
    </row>
    <row r="878" spans="6:40" x14ac:dyDescent="0.55000000000000004">
      <c r="F878" s="1"/>
      <c r="G878" s="1"/>
      <c r="H878" s="2"/>
      <c r="X878" s="1"/>
    </row>
    <row r="879" spans="6:40" x14ac:dyDescent="0.55000000000000004">
      <c r="F879" s="1"/>
      <c r="G879" s="1"/>
      <c r="H879" s="2"/>
      <c r="X879" s="1"/>
      <c r="AF879" s="3"/>
      <c r="AN879" s="3"/>
    </row>
    <row r="880" spans="6:40" x14ac:dyDescent="0.55000000000000004">
      <c r="F880" s="1"/>
      <c r="G880" s="1"/>
      <c r="H880" s="2"/>
      <c r="X880" s="1"/>
    </row>
    <row r="881" spans="6:40" x14ac:dyDescent="0.55000000000000004">
      <c r="F881" s="1"/>
      <c r="G881" s="1"/>
      <c r="H881" s="2"/>
      <c r="X881" s="1"/>
    </row>
    <row r="882" spans="6:40" x14ac:dyDescent="0.55000000000000004">
      <c r="F882" s="1"/>
      <c r="G882" s="1"/>
      <c r="H882" s="2"/>
      <c r="X882" s="1"/>
    </row>
    <row r="883" spans="6:40" x14ac:dyDescent="0.55000000000000004">
      <c r="F883" s="1"/>
      <c r="G883" s="1"/>
      <c r="H883" s="2"/>
      <c r="X883" s="1"/>
      <c r="AF883" s="4"/>
      <c r="AN883" s="4"/>
    </row>
    <row r="884" spans="6:40" x14ac:dyDescent="0.55000000000000004">
      <c r="F884" s="1"/>
      <c r="G884" s="1"/>
      <c r="H884" s="2"/>
      <c r="X884" s="1"/>
    </row>
    <row r="885" spans="6:40" x14ac:dyDescent="0.55000000000000004">
      <c r="F885" s="1"/>
      <c r="G885" s="1"/>
      <c r="H885" s="2"/>
      <c r="X885" s="1"/>
    </row>
    <row r="886" spans="6:40" x14ac:dyDescent="0.55000000000000004">
      <c r="F886" s="1"/>
      <c r="G886" s="1"/>
      <c r="H886" s="2"/>
      <c r="X886" s="1"/>
    </row>
    <row r="887" spans="6:40" x14ac:dyDescent="0.55000000000000004">
      <c r="F887" s="1"/>
      <c r="G887" s="1"/>
      <c r="H887" s="2"/>
      <c r="X887" s="1"/>
      <c r="AF887" s="4"/>
      <c r="AN887" s="4"/>
    </row>
    <row r="888" spans="6:40" x14ac:dyDescent="0.55000000000000004">
      <c r="F888" s="1"/>
      <c r="G888" s="1"/>
      <c r="H888" s="2"/>
      <c r="X888" s="1"/>
    </row>
    <row r="889" spans="6:40" x14ac:dyDescent="0.55000000000000004">
      <c r="F889" s="1"/>
      <c r="G889" s="1"/>
      <c r="H889" s="2"/>
      <c r="X889" s="1"/>
    </row>
    <row r="890" spans="6:40" x14ac:dyDescent="0.55000000000000004">
      <c r="F890" s="1"/>
      <c r="G890" s="1"/>
      <c r="H890" s="2"/>
      <c r="X890" s="1"/>
    </row>
    <row r="891" spans="6:40" x14ac:dyDescent="0.55000000000000004">
      <c r="F891" s="1"/>
      <c r="G891" s="1"/>
      <c r="H891" s="2"/>
      <c r="X891" s="1"/>
    </row>
    <row r="892" spans="6:40" x14ac:dyDescent="0.55000000000000004">
      <c r="F892" s="1"/>
      <c r="G892" s="1"/>
      <c r="H892" s="2"/>
      <c r="X892" s="1"/>
    </row>
    <row r="893" spans="6:40" x14ac:dyDescent="0.55000000000000004">
      <c r="F893" s="1"/>
      <c r="G893" s="1"/>
      <c r="H893" s="2"/>
      <c r="X893" s="1"/>
    </row>
    <row r="894" spans="6:40" x14ac:dyDescent="0.55000000000000004">
      <c r="F894" s="1"/>
      <c r="G894" s="1"/>
      <c r="H894" s="2"/>
      <c r="X894" s="1"/>
    </row>
    <row r="895" spans="6:40" x14ac:dyDescent="0.55000000000000004">
      <c r="F895" s="1"/>
      <c r="G895" s="1"/>
      <c r="H895" s="2"/>
      <c r="X895" s="1"/>
    </row>
    <row r="896" spans="6:40" x14ac:dyDescent="0.55000000000000004">
      <c r="F896" s="1"/>
      <c r="G896" s="1"/>
      <c r="H896" s="2"/>
      <c r="X896" s="1"/>
    </row>
    <row r="897" spans="6:40" x14ac:dyDescent="0.55000000000000004">
      <c r="F897" s="1"/>
      <c r="G897" s="1"/>
      <c r="H897" s="2"/>
      <c r="X897" s="1"/>
      <c r="AF897" s="4"/>
      <c r="AN897" s="4"/>
    </row>
    <row r="898" spans="6:40" x14ac:dyDescent="0.55000000000000004">
      <c r="F898" s="1"/>
      <c r="G898" s="1"/>
      <c r="H898" s="2"/>
      <c r="X898" s="1"/>
    </row>
    <row r="899" spans="6:40" x14ac:dyDescent="0.55000000000000004">
      <c r="F899" s="1"/>
      <c r="G899" s="1"/>
      <c r="H899" s="2"/>
      <c r="X899" s="1"/>
    </row>
    <row r="900" spans="6:40" x14ac:dyDescent="0.55000000000000004">
      <c r="F900" s="1"/>
      <c r="G900" s="1"/>
      <c r="H900" s="2"/>
      <c r="X900" s="1"/>
    </row>
    <row r="901" spans="6:40" x14ac:dyDescent="0.55000000000000004">
      <c r="F901" s="1"/>
      <c r="G901" s="1"/>
      <c r="H901" s="2"/>
      <c r="X901" s="1"/>
    </row>
    <row r="902" spans="6:40" x14ac:dyDescent="0.55000000000000004">
      <c r="F902" s="1"/>
      <c r="G902" s="1"/>
      <c r="H902" s="2"/>
      <c r="X902" s="1"/>
    </row>
    <row r="903" spans="6:40" x14ac:dyDescent="0.55000000000000004">
      <c r="F903" s="1"/>
      <c r="G903" s="1"/>
      <c r="H903" s="2"/>
      <c r="X903" s="1"/>
    </row>
    <row r="904" spans="6:40" x14ac:dyDescent="0.55000000000000004">
      <c r="F904" s="1"/>
      <c r="G904" s="1"/>
      <c r="H904" s="2"/>
      <c r="X904" s="1"/>
    </row>
    <row r="905" spans="6:40" x14ac:dyDescent="0.55000000000000004">
      <c r="F905" s="1"/>
      <c r="G905" s="1"/>
      <c r="H905" s="2"/>
      <c r="X905" s="1"/>
    </row>
    <row r="906" spans="6:40" x14ac:dyDescent="0.55000000000000004">
      <c r="F906" s="1"/>
      <c r="G906" s="1"/>
      <c r="H906" s="2"/>
      <c r="X906" s="1"/>
    </row>
    <row r="907" spans="6:40" x14ac:dyDescent="0.55000000000000004">
      <c r="F907" s="1"/>
      <c r="G907" s="1"/>
      <c r="H907" s="2"/>
      <c r="X907" s="1"/>
    </row>
    <row r="908" spans="6:40" x14ac:dyDescent="0.55000000000000004">
      <c r="F908" s="1"/>
      <c r="G908" s="1"/>
      <c r="H908" s="2"/>
      <c r="X908" s="1"/>
    </row>
    <row r="909" spans="6:40" x14ac:dyDescent="0.55000000000000004">
      <c r="F909" s="1"/>
      <c r="G909" s="1"/>
      <c r="H909" s="2"/>
      <c r="X909" s="1"/>
    </row>
    <row r="910" spans="6:40" x14ac:dyDescent="0.55000000000000004">
      <c r="F910" s="1"/>
      <c r="G910" s="1"/>
      <c r="H910" s="2"/>
      <c r="X910" s="1"/>
    </row>
    <row r="911" spans="6:40" x14ac:dyDescent="0.55000000000000004">
      <c r="F911" s="1"/>
      <c r="G911" s="1"/>
      <c r="H911" s="2"/>
      <c r="X911" s="1"/>
      <c r="AF911" s="4"/>
      <c r="AN911" s="4"/>
    </row>
    <row r="912" spans="6:40" x14ac:dyDescent="0.55000000000000004">
      <c r="F912" s="1"/>
      <c r="G912" s="1"/>
      <c r="H912" s="2"/>
      <c r="X912" s="1"/>
      <c r="AF912" s="4"/>
      <c r="AN912" s="4"/>
    </row>
    <row r="913" spans="6:40" x14ac:dyDescent="0.55000000000000004">
      <c r="F913" s="1"/>
      <c r="G913" s="1"/>
      <c r="H913" s="2"/>
      <c r="X913" s="1"/>
    </row>
    <row r="914" spans="6:40" x14ac:dyDescent="0.55000000000000004">
      <c r="F914" s="1"/>
      <c r="G914" s="1"/>
      <c r="H914" s="2"/>
      <c r="X914" s="1"/>
    </row>
    <row r="915" spans="6:40" x14ac:dyDescent="0.55000000000000004">
      <c r="F915" s="1"/>
      <c r="G915" s="1"/>
      <c r="H915" s="2"/>
      <c r="X915" s="1"/>
    </row>
    <row r="916" spans="6:40" x14ac:dyDescent="0.55000000000000004">
      <c r="F916" s="1"/>
      <c r="G916" s="1"/>
      <c r="H916" s="2"/>
      <c r="X916" s="1"/>
    </row>
    <row r="917" spans="6:40" x14ac:dyDescent="0.55000000000000004">
      <c r="F917" s="1"/>
      <c r="G917" s="1"/>
      <c r="H917" s="2"/>
      <c r="X917" s="1"/>
    </row>
    <row r="918" spans="6:40" x14ac:dyDescent="0.55000000000000004">
      <c r="F918" s="1"/>
      <c r="G918" s="1"/>
      <c r="H918" s="2"/>
      <c r="X918" s="1"/>
    </row>
    <row r="919" spans="6:40" x14ac:dyDescent="0.55000000000000004">
      <c r="F919" s="1"/>
      <c r="G919" s="1"/>
      <c r="H919" s="2"/>
      <c r="X919" s="1"/>
    </row>
    <row r="920" spans="6:40" x14ac:dyDescent="0.55000000000000004">
      <c r="F920" s="1"/>
      <c r="G920" s="1"/>
      <c r="H920" s="2"/>
      <c r="X920" s="1"/>
    </row>
    <row r="921" spans="6:40" x14ac:dyDescent="0.55000000000000004">
      <c r="F921" s="1"/>
      <c r="G921" s="1"/>
      <c r="H921" s="2"/>
      <c r="X921" s="1"/>
      <c r="AF921" s="4"/>
      <c r="AN921" s="4"/>
    </row>
    <row r="922" spans="6:40" x14ac:dyDescent="0.55000000000000004">
      <c r="F922" s="1"/>
      <c r="G922" s="1"/>
      <c r="H922" s="2"/>
      <c r="X922" s="1"/>
    </row>
    <row r="923" spans="6:40" x14ac:dyDescent="0.55000000000000004">
      <c r="F923" s="1"/>
      <c r="G923" s="1"/>
      <c r="H923" s="2"/>
      <c r="X923" s="1"/>
    </row>
    <row r="924" spans="6:40" x14ac:dyDescent="0.55000000000000004">
      <c r="F924" s="1"/>
      <c r="G924" s="1"/>
      <c r="H924" s="2"/>
      <c r="X924" s="1"/>
    </row>
    <row r="925" spans="6:40" x14ac:dyDescent="0.55000000000000004">
      <c r="F925" s="1"/>
      <c r="G925" s="1"/>
      <c r="H925" s="2"/>
      <c r="X925" s="1"/>
      <c r="AF925" s="4"/>
      <c r="AN925" s="4"/>
    </row>
    <row r="926" spans="6:40" x14ac:dyDescent="0.55000000000000004">
      <c r="F926" s="1"/>
      <c r="G926" s="1"/>
      <c r="H926" s="2"/>
      <c r="X926" s="1"/>
    </row>
    <row r="927" spans="6:40" x14ac:dyDescent="0.55000000000000004">
      <c r="F927" s="1"/>
      <c r="G927" s="1"/>
      <c r="H927" s="2"/>
      <c r="X927" s="1"/>
    </row>
    <row r="928" spans="6:40" x14ac:dyDescent="0.55000000000000004">
      <c r="F928" s="1"/>
      <c r="G928" s="1"/>
      <c r="H928" s="2"/>
      <c r="X928" s="1"/>
    </row>
    <row r="929" spans="6:40" x14ac:dyDescent="0.55000000000000004">
      <c r="F929" s="1"/>
      <c r="G929" s="1"/>
      <c r="H929" s="2"/>
      <c r="X929" s="1"/>
    </row>
    <row r="930" spans="6:40" x14ac:dyDescent="0.55000000000000004">
      <c r="F930" s="1"/>
      <c r="G930" s="1"/>
      <c r="H930" s="2"/>
      <c r="X930" s="1"/>
    </row>
    <row r="931" spans="6:40" x14ac:dyDescent="0.55000000000000004">
      <c r="F931" s="1"/>
      <c r="G931" s="1"/>
      <c r="H931" s="2"/>
      <c r="X931" s="1"/>
    </row>
    <row r="932" spans="6:40" x14ac:dyDescent="0.55000000000000004">
      <c r="F932" s="1"/>
      <c r="G932" s="1"/>
      <c r="H932" s="2"/>
      <c r="X932" s="1"/>
    </row>
    <row r="933" spans="6:40" x14ac:dyDescent="0.55000000000000004">
      <c r="F933" s="1"/>
      <c r="G933" s="1"/>
      <c r="H933" s="2"/>
      <c r="X933" s="1"/>
    </row>
    <row r="934" spans="6:40" x14ac:dyDescent="0.55000000000000004">
      <c r="F934" s="1"/>
      <c r="G934" s="1"/>
      <c r="H934" s="2"/>
      <c r="X934" s="1"/>
    </row>
    <row r="935" spans="6:40" x14ac:dyDescent="0.55000000000000004">
      <c r="F935" s="1"/>
      <c r="G935" s="1"/>
      <c r="H935" s="2"/>
      <c r="X935" s="1"/>
    </row>
    <row r="936" spans="6:40" x14ac:dyDescent="0.55000000000000004">
      <c r="F936" s="1"/>
      <c r="G936" s="1"/>
      <c r="H936" s="2"/>
      <c r="X936" s="1"/>
    </row>
    <row r="937" spans="6:40" x14ac:dyDescent="0.55000000000000004">
      <c r="F937" s="1"/>
      <c r="G937" s="1"/>
      <c r="H937" s="2"/>
      <c r="X937" s="1"/>
    </row>
    <row r="938" spans="6:40" x14ac:dyDescent="0.55000000000000004">
      <c r="F938" s="1"/>
      <c r="G938" s="1"/>
      <c r="H938" s="2"/>
      <c r="X938" s="1"/>
    </row>
    <row r="939" spans="6:40" x14ac:dyDescent="0.55000000000000004">
      <c r="F939" s="1"/>
      <c r="G939" s="1"/>
      <c r="H939" s="2"/>
      <c r="X939" s="1"/>
    </row>
    <row r="940" spans="6:40" x14ac:dyDescent="0.55000000000000004">
      <c r="F940" s="1"/>
      <c r="G940" s="1"/>
      <c r="H940" s="2"/>
      <c r="X940" s="1"/>
    </row>
    <row r="941" spans="6:40" x14ac:dyDescent="0.55000000000000004">
      <c r="F941" s="1"/>
      <c r="G941" s="1"/>
      <c r="H941" s="2"/>
      <c r="X941" s="1"/>
      <c r="AF941" s="4"/>
      <c r="AN941" s="4"/>
    </row>
    <row r="942" spans="6:40" x14ac:dyDescent="0.55000000000000004">
      <c r="F942" s="1"/>
      <c r="G942" s="1"/>
      <c r="H942" s="2"/>
      <c r="X942" s="1"/>
    </row>
    <row r="943" spans="6:40" x14ac:dyDescent="0.55000000000000004">
      <c r="F943" s="1"/>
      <c r="G943" s="1"/>
      <c r="H943" s="2"/>
      <c r="X943" s="1"/>
      <c r="AF943" s="4"/>
      <c r="AN943" s="4"/>
    </row>
    <row r="944" spans="6:40" x14ac:dyDescent="0.55000000000000004">
      <c r="F944" s="1"/>
      <c r="G944" s="1"/>
      <c r="H944" s="2"/>
      <c r="X944" s="1"/>
    </row>
    <row r="945" spans="6:42" x14ac:dyDescent="0.55000000000000004">
      <c r="F945" s="1"/>
      <c r="G945" s="1"/>
      <c r="H945" s="2"/>
      <c r="X945" s="1"/>
    </row>
    <row r="946" spans="6:42" x14ac:dyDescent="0.55000000000000004">
      <c r="F946" s="1"/>
      <c r="G946" s="1"/>
      <c r="H946" s="2"/>
      <c r="X946" s="1"/>
    </row>
    <row r="947" spans="6:42" x14ac:dyDescent="0.55000000000000004">
      <c r="F947" s="1"/>
      <c r="G947" s="1"/>
      <c r="H947" s="2"/>
      <c r="X947" s="1"/>
    </row>
    <row r="948" spans="6:42" x14ac:dyDescent="0.55000000000000004">
      <c r="F948" s="1"/>
      <c r="G948" s="1"/>
      <c r="H948" s="2"/>
      <c r="X948" s="1"/>
    </row>
    <row r="949" spans="6:42" x14ac:dyDescent="0.55000000000000004">
      <c r="F949" s="1"/>
      <c r="G949" s="1"/>
      <c r="H949" s="2"/>
      <c r="X949" s="1"/>
    </row>
    <row r="950" spans="6:42" x14ac:dyDescent="0.55000000000000004">
      <c r="F950" s="1"/>
      <c r="G950" s="1"/>
      <c r="H950" s="2"/>
      <c r="X950" s="1"/>
    </row>
    <row r="951" spans="6:42" x14ac:dyDescent="0.55000000000000004">
      <c r="F951" s="1"/>
      <c r="G951" s="1"/>
      <c r="H951" s="2"/>
      <c r="X951" s="1"/>
    </row>
    <row r="952" spans="6:42" x14ac:dyDescent="0.55000000000000004">
      <c r="F952" s="1"/>
      <c r="G952" s="1"/>
      <c r="H952" s="2"/>
      <c r="X952" s="1"/>
      <c r="AP952" s="2"/>
    </row>
    <row r="953" spans="6:42" x14ac:dyDescent="0.55000000000000004">
      <c r="F953" s="1"/>
      <c r="G953" s="1"/>
      <c r="H953" s="2"/>
      <c r="X953" s="1"/>
    </row>
    <row r="954" spans="6:42" x14ac:dyDescent="0.55000000000000004">
      <c r="F954" s="1"/>
      <c r="G954" s="1"/>
      <c r="H954" s="2"/>
      <c r="X954" s="1"/>
    </row>
    <row r="955" spans="6:42" x14ac:dyDescent="0.55000000000000004">
      <c r="F955" s="1"/>
      <c r="G955" s="1"/>
      <c r="H955" s="2"/>
      <c r="X955" s="1"/>
    </row>
    <row r="956" spans="6:42" x14ac:dyDescent="0.55000000000000004">
      <c r="F956" s="1"/>
      <c r="G956" s="1"/>
      <c r="H956" s="2"/>
      <c r="X956" s="1"/>
    </row>
    <row r="957" spans="6:42" x14ac:dyDescent="0.55000000000000004">
      <c r="F957" s="1"/>
      <c r="G957" s="1"/>
      <c r="H957" s="2"/>
      <c r="X957" s="1"/>
    </row>
    <row r="958" spans="6:42" x14ac:dyDescent="0.55000000000000004">
      <c r="F958" s="1"/>
      <c r="G958" s="1"/>
      <c r="H958" s="2"/>
      <c r="X958" s="1"/>
    </row>
    <row r="959" spans="6:42" x14ac:dyDescent="0.55000000000000004">
      <c r="F959" s="1"/>
      <c r="H959" s="2"/>
    </row>
    <row r="960" spans="6:42" x14ac:dyDescent="0.55000000000000004">
      <c r="F960" s="1"/>
      <c r="G960" s="1"/>
      <c r="H960" s="2"/>
      <c r="X960" s="1"/>
    </row>
    <row r="961" spans="6:40" x14ac:dyDescent="0.55000000000000004">
      <c r="F961" s="1"/>
      <c r="G961" s="1"/>
      <c r="H961" s="2"/>
      <c r="X961" s="1"/>
      <c r="AF961" s="4"/>
      <c r="AN961" s="4"/>
    </row>
    <row r="962" spans="6:40" x14ac:dyDescent="0.55000000000000004">
      <c r="F962" s="1"/>
      <c r="G962" s="1"/>
      <c r="H962" s="2"/>
      <c r="X962" s="1"/>
    </row>
    <row r="963" spans="6:40" x14ac:dyDescent="0.55000000000000004">
      <c r="F963" s="1"/>
      <c r="G963" s="1"/>
      <c r="H963" s="2"/>
      <c r="X963" s="1"/>
    </row>
    <row r="964" spans="6:40" x14ac:dyDescent="0.55000000000000004">
      <c r="F964" s="1"/>
      <c r="G964" s="1"/>
      <c r="H964" s="2"/>
      <c r="X964" s="1"/>
    </row>
    <row r="965" spans="6:40" x14ac:dyDescent="0.55000000000000004">
      <c r="F965" s="1"/>
      <c r="G965" s="1"/>
      <c r="H965" s="2"/>
      <c r="X965" s="1"/>
    </row>
    <row r="966" spans="6:40" x14ac:dyDescent="0.55000000000000004">
      <c r="F966" s="1"/>
      <c r="G966" s="1"/>
      <c r="H966" s="2"/>
      <c r="X966" s="1"/>
    </row>
    <row r="967" spans="6:40" x14ac:dyDescent="0.55000000000000004">
      <c r="F967" s="1"/>
      <c r="G967" s="1"/>
      <c r="H967" s="2"/>
      <c r="X967" s="1"/>
    </row>
    <row r="968" spans="6:40" x14ac:dyDescent="0.55000000000000004">
      <c r="F968" s="1"/>
      <c r="G968" s="1"/>
      <c r="H968" s="2"/>
      <c r="X968" s="1"/>
      <c r="AF968" s="4"/>
      <c r="AN968" s="4"/>
    </row>
    <row r="969" spans="6:40" x14ac:dyDescent="0.55000000000000004">
      <c r="F969" s="1"/>
      <c r="G969" s="1"/>
      <c r="H969" s="2"/>
      <c r="X969" s="1"/>
    </row>
    <row r="970" spans="6:40" x14ac:dyDescent="0.55000000000000004">
      <c r="F970" s="1"/>
      <c r="G970" s="1"/>
      <c r="H970" s="2"/>
      <c r="X970" s="1"/>
    </row>
    <row r="971" spans="6:40" x14ac:dyDescent="0.55000000000000004">
      <c r="F971" s="1"/>
      <c r="G971" s="1"/>
      <c r="H971" s="2"/>
      <c r="X971" s="1"/>
    </row>
    <row r="972" spans="6:40" x14ac:dyDescent="0.55000000000000004">
      <c r="F972" s="1"/>
      <c r="G972" s="1"/>
      <c r="H972" s="2"/>
      <c r="X972" s="1"/>
    </row>
    <row r="973" spans="6:40" x14ac:dyDescent="0.55000000000000004">
      <c r="F973" s="1"/>
      <c r="G973" s="1"/>
      <c r="H973" s="2"/>
      <c r="X973" s="1"/>
      <c r="AF973" s="4"/>
      <c r="AN973" s="4"/>
    </row>
    <row r="974" spans="6:40" x14ac:dyDescent="0.55000000000000004">
      <c r="F974" s="1"/>
      <c r="G974" s="1"/>
      <c r="H974" s="2"/>
      <c r="X974" s="1"/>
    </row>
    <row r="975" spans="6:40" x14ac:dyDescent="0.55000000000000004">
      <c r="F975" s="1"/>
      <c r="G975" s="1"/>
      <c r="H975" s="2"/>
      <c r="X975" s="1"/>
    </row>
    <row r="976" spans="6:40" x14ac:dyDescent="0.55000000000000004">
      <c r="F976" s="1"/>
      <c r="G976" s="1"/>
      <c r="H976" s="2"/>
      <c r="X976" s="1"/>
    </row>
    <row r="977" spans="6:42" x14ac:dyDescent="0.55000000000000004">
      <c r="F977" s="1"/>
      <c r="G977" s="1"/>
      <c r="H977" s="2"/>
      <c r="X977" s="1"/>
      <c r="AF977" s="4"/>
      <c r="AN977" s="4"/>
    </row>
    <row r="978" spans="6:42" x14ac:dyDescent="0.55000000000000004">
      <c r="F978" s="1"/>
      <c r="G978" s="1"/>
      <c r="H978" s="2"/>
      <c r="X978" s="1"/>
    </row>
    <row r="979" spans="6:42" x14ac:dyDescent="0.55000000000000004">
      <c r="F979" s="1"/>
      <c r="G979" s="1"/>
      <c r="H979" s="2"/>
      <c r="X979" s="1"/>
    </row>
    <row r="980" spans="6:42" x14ac:dyDescent="0.55000000000000004">
      <c r="F980" s="1"/>
      <c r="G980" s="1"/>
      <c r="H980" s="2"/>
      <c r="X980" s="1"/>
    </row>
    <row r="981" spans="6:42" x14ac:dyDescent="0.55000000000000004">
      <c r="F981" s="1"/>
      <c r="G981" s="1"/>
      <c r="H981" s="2"/>
      <c r="X981" s="1"/>
    </row>
    <row r="982" spans="6:42" x14ac:dyDescent="0.55000000000000004">
      <c r="F982" s="1"/>
      <c r="G982" s="1"/>
      <c r="H982" s="2"/>
      <c r="X982" s="1"/>
    </row>
    <row r="983" spans="6:42" x14ac:dyDescent="0.55000000000000004">
      <c r="F983" s="1"/>
      <c r="G983" s="1"/>
      <c r="H983" s="2"/>
      <c r="X983" s="1"/>
    </row>
    <row r="984" spans="6:42" x14ac:dyDescent="0.55000000000000004">
      <c r="F984" s="1"/>
      <c r="G984" s="1"/>
      <c r="H984" s="2"/>
      <c r="X984" s="1"/>
    </row>
    <row r="985" spans="6:42" x14ac:dyDescent="0.55000000000000004">
      <c r="F985" s="1"/>
      <c r="G985" s="1"/>
      <c r="H985" s="2"/>
      <c r="X985" s="1"/>
    </row>
    <row r="986" spans="6:42" x14ac:dyDescent="0.55000000000000004">
      <c r="F986" s="1"/>
      <c r="G986" s="1"/>
      <c r="H986" s="2"/>
      <c r="X986" s="1"/>
    </row>
    <row r="987" spans="6:42" x14ac:dyDescent="0.55000000000000004">
      <c r="F987" s="1"/>
      <c r="G987" s="1"/>
      <c r="H987" s="2"/>
      <c r="X987" s="1"/>
      <c r="AP987" s="2"/>
    </row>
    <row r="988" spans="6:42" x14ac:dyDescent="0.55000000000000004">
      <c r="F988" s="1"/>
      <c r="G988" s="1"/>
      <c r="H988" s="2"/>
      <c r="X988" s="1"/>
    </row>
    <row r="989" spans="6:42" x14ac:dyDescent="0.55000000000000004">
      <c r="F989" s="1"/>
      <c r="G989" s="1"/>
      <c r="H989" s="2"/>
      <c r="X989" s="1"/>
      <c r="AF989" s="4"/>
      <c r="AN989" s="4"/>
    </row>
    <row r="990" spans="6:42" x14ac:dyDescent="0.55000000000000004">
      <c r="F990" s="1"/>
      <c r="G990" s="1"/>
      <c r="H990" s="2"/>
      <c r="X990" s="1"/>
    </row>
    <row r="991" spans="6:42" x14ac:dyDescent="0.55000000000000004">
      <c r="F991" s="1"/>
      <c r="G991" s="1"/>
      <c r="H991" s="2"/>
      <c r="X991" s="1"/>
    </row>
    <row r="992" spans="6:42" x14ac:dyDescent="0.55000000000000004">
      <c r="F992" s="1"/>
      <c r="G992" s="1"/>
      <c r="H992" s="2"/>
      <c r="X992" s="1"/>
    </row>
    <row r="993" spans="6:40" x14ac:dyDescent="0.55000000000000004">
      <c r="F993" s="1"/>
      <c r="G993" s="1"/>
      <c r="H993" s="2"/>
      <c r="X993" s="1"/>
    </row>
    <row r="994" spans="6:40" x14ac:dyDescent="0.55000000000000004">
      <c r="F994" s="1"/>
      <c r="G994" s="1"/>
      <c r="H994" s="2"/>
      <c r="X994" s="1"/>
    </row>
    <row r="995" spans="6:40" x14ac:dyDescent="0.55000000000000004">
      <c r="F995" s="1"/>
      <c r="G995" s="1"/>
      <c r="H995" s="2"/>
      <c r="X995" s="1"/>
    </row>
    <row r="996" spans="6:40" x14ac:dyDescent="0.55000000000000004">
      <c r="F996" s="1"/>
      <c r="G996" s="1"/>
      <c r="H996" s="2"/>
      <c r="X996" s="1"/>
    </row>
    <row r="997" spans="6:40" x14ac:dyDescent="0.55000000000000004">
      <c r="F997" s="1"/>
      <c r="G997" s="1"/>
      <c r="H997" s="2"/>
      <c r="X997" s="1"/>
    </row>
    <row r="998" spans="6:40" x14ac:dyDescent="0.55000000000000004">
      <c r="F998" s="1"/>
      <c r="G998" s="1"/>
      <c r="H998" s="2"/>
      <c r="X998" s="1"/>
    </row>
    <row r="999" spans="6:40" x14ac:dyDescent="0.55000000000000004">
      <c r="F999" s="1"/>
      <c r="G999" s="1"/>
      <c r="H999" s="2"/>
      <c r="X999" s="1"/>
      <c r="AF999" s="4"/>
      <c r="AN999" s="4"/>
    </row>
    <row r="1000" spans="6:40" x14ac:dyDescent="0.55000000000000004">
      <c r="F1000" s="1"/>
      <c r="G1000" s="1"/>
      <c r="H1000" s="2"/>
      <c r="X1000" s="1"/>
      <c r="AF1000" s="5"/>
      <c r="AN1000" s="5"/>
    </row>
    <row r="1001" spans="6:40" x14ac:dyDescent="0.55000000000000004">
      <c r="F1001" s="1"/>
      <c r="G1001" s="1"/>
      <c r="H1001" s="2"/>
      <c r="X1001" s="1"/>
    </row>
    <row r="1002" spans="6:40" x14ac:dyDescent="0.55000000000000004">
      <c r="F1002" s="1"/>
      <c r="G1002" s="1"/>
      <c r="H1002" s="2"/>
      <c r="X1002" s="1"/>
    </row>
    <row r="1003" spans="6:40" x14ac:dyDescent="0.55000000000000004">
      <c r="F1003" s="1"/>
      <c r="G1003" s="1"/>
      <c r="H1003" s="2"/>
      <c r="X1003" s="1"/>
    </row>
    <row r="1004" spans="6:40" x14ac:dyDescent="0.55000000000000004">
      <c r="F1004" s="1"/>
      <c r="H1004" s="2"/>
    </row>
    <row r="1005" spans="6:40" x14ac:dyDescent="0.55000000000000004">
      <c r="F1005" s="1"/>
      <c r="G1005" s="1"/>
      <c r="H1005" s="2"/>
      <c r="X1005" s="1"/>
    </row>
    <row r="1006" spans="6:40" x14ac:dyDescent="0.55000000000000004">
      <c r="F1006" s="1"/>
      <c r="G1006" s="1"/>
      <c r="H1006" s="2"/>
      <c r="X1006" s="1"/>
    </row>
    <row r="1007" spans="6:40" x14ac:dyDescent="0.55000000000000004">
      <c r="F1007" s="1"/>
      <c r="G1007" s="1"/>
      <c r="H1007" s="2"/>
      <c r="X1007" s="1"/>
    </row>
    <row r="1008" spans="6:40" x14ac:dyDescent="0.55000000000000004">
      <c r="F1008" s="1"/>
      <c r="G1008" s="1"/>
      <c r="H1008" s="2"/>
      <c r="X1008" s="1"/>
    </row>
    <row r="1009" spans="6:42" x14ac:dyDescent="0.55000000000000004">
      <c r="F1009" s="1"/>
      <c r="G1009" s="1"/>
      <c r="H1009" s="2"/>
      <c r="X1009" s="1"/>
    </row>
    <row r="1010" spans="6:42" x14ac:dyDescent="0.55000000000000004">
      <c r="F1010" s="1"/>
      <c r="G1010" s="1"/>
      <c r="H1010" s="2"/>
      <c r="X1010" s="1"/>
      <c r="AF1010" s="4"/>
      <c r="AN1010" s="4"/>
    </row>
    <row r="1011" spans="6:42" x14ac:dyDescent="0.55000000000000004">
      <c r="F1011" s="1"/>
      <c r="G1011" s="1"/>
      <c r="H1011" s="2"/>
      <c r="X1011" s="1"/>
    </row>
    <row r="1012" spans="6:42" x14ac:dyDescent="0.55000000000000004">
      <c r="F1012" s="1"/>
      <c r="G1012" s="1"/>
      <c r="H1012" s="2"/>
      <c r="X1012" s="1"/>
      <c r="AF1012" s="4"/>
      <c r="AN1012" s="4"/>
    </row>
    <row r="1013" spans="6:42" x14ac:dyDescent="0.55000000000000004">
      <c r="F1013" s="1"/>
      <c r="G1013" s="1"/>
      <c r="H1013" s="2"/>
      <c r="X1013" s="1"/>
    </row>
    <row r="1014" spans="6:42" x14ac:dyDescent="0.55000000000000004">
      <c r="F1014" s="1"/>
      <c r="G1014" s="1"/>
      <c r="H1014" s="2"/>
      <c r="X1014" s="1"/>
    </row>
    <row r="1015" spans="6:42" x14ac:dyDescent="0.55000000000000004">
      <c r="F1015" s="1"/>
      <c r="G1015" s="1"/>
      <c r="H1015" s="2"/>
      <c r="X1015" s="1"/>
    </row>
    <row r="1016" spans="6:42" x14ac:dyDescent="0.55000000000000004">
      <c r="F1016" s="1"/>
      <c r="G1016" s="1"/>
      <c r="H1016" s="2"/>
      <c r="X1016" s="1"/>
    </row>
    <row r="1017" spans="6:42" x14ac:dyDescent="0.55000000000000004">
      <c r="F1017" s="1"/>
      <c r="G1017" s="1"/>
      <c r="H1017" s="2"/>
      <c r="X1017" s="1"/>
    </row>
    <row r="1018" spans="6:42" x14ac:dyDescent="0.55000000000000004">
      <c r="F1018" s="1"/>
      <c r="G1018" s="1"/>
      <c r="H1018" s="2"/>
      <c r="X1018" s="1"/>
    </row>
    <row r="1019" spans="6:42" x14ac:dyDescent="0.55000000000000004">
      <c r="F1019" s="1"/>
      <c r="G1019" s="1"/>
      <c r="H1019" s="2"/>
      <c r="X1019" s="1"/>
    </row>
    <row r="1020" spans="6:42" x14ac:dyDescent="0.55000000000000004">
      <c r="F1020" s="1"/>
      <c r="G1020" s="1"/>
      <c r="H1020" s="2"/>
      <c r="X1020" s="1"/>
    </row>
    <row r="1021" spans="6:42" x14ac:dyDescent="0.55000000000000004">
      <c r="F1021" s="1"/>
      <c r="G1021" s="1"/>
      <c r="H1021" s="2"/>
      <c r="X1021" s="1"/>
    </row>
    <row r="1022" spans="6:42" x14ac:dyDescent="0.55000000000000004">
      <c r="F1022" s="1"/>
      <c r="G1022" s="1"/>
      <c r="H1022" s="2"/>
      <c r="X1022" s="1"/>
    </row>
    <row r="1023" spans="6:42" x14ac:dyDescent="0.55000000000000004">
      <c r="F1023" s="1"/>
      <c r="G1023" s="1"/>
      <c r="H1023" s="2"/>
      <c r="X1023" s="1"/>
      <c r="AP1023" s="2"/>
    </row>
    <row r="1024" spans="6:42" x14ac:dyDescent="0.55000000000000004">
      <c r="F1024" s="1"/>
      <c r="G1024" s="1"/>
      <c r="H1024" s="2"/>
      <c r="X1024" s="1"/>
      <c r="AF1024" s="4"/>
      <c r="AN1024" s="4"/>
    </row>
    <row r="1025" spans="6:40" x14ac:dyDescent="0.55000000000000004">
      <c r="F1025" s="1"/>
      <c r="H1025" s="2"/>
    </row>
    <row r="1026" spans="6:40" x14ac:dyDescent="0.55000000000000004">
      <c r="F1026" s="1"/>
      <c r="G1026" s="1"/>
      <c r="H1026" s="2"/>
      <c r="X1026" s="1"/>
      <c r="AF1026" s="4"/>
      <c r="AN1026" s="4"/>
    </row>
    <row r="1027" spans="6:40" x14ac:dyDescent="0.55000000000000004">
      <c r="F1027" s="1"/>
      <c r="G1027" s="1"/>
      <c r="H1027" s="2"/>
      <c r="X1027" s="1"/>
    </row>
    <row r="1028" spans="6:40" x14ac:dyDescent="0.55000000000000004">
      <c r="F1028" s="1"/>
      <c r="G1028" s="1"/>
      <c r="H1028" s="2"/>
      <c r="X1028" s="1"/>
    </row>
    <row r="1029" spans="6:40" x14ac:dyDescent="0.55000000000000004">
      <c r="F1029" s="1"/>
      <c r="G1029" s="1"/>
      <c r="H1029" s="2"/>
      <c r="X1029" s="1"/>
    </row>
    <row r="1030" spans="6:40" x14ac:dyDescent="0.55000000000000004">
      <c r="F1030" s="1"/>
      <c r="G1030" s="1"/>
      <c r="H1030" s="2"/>
      <c r="X1030" s="1"/>
      <c r="AF1030" s="4"/>
      <c r="AN1030" s="4"/>
    </row>
    <row r="1031" spans="6:40" x14ac:dyDescent="0.55000000000000004">
      <c r="F1031" s="1"/>
      <c r="H1031" s="2"/>
    </row>
    <row r="1032" spans="6:40" x14ac:dyDescent="0.55000000000000004">
      <c r="F1032" s="1"/>
      <c r="G1032" s="1"/>
      <c r="H1032" s="2"/>
      <c r="X1032" s="1"/>
    </row>
    <row r="1033" spans="6:40" x14ac:dyDescent="0.55000000000000004">
      <c r="F1033" s="1"/>
      <c r="G1033" s="1"/>
      <c r="H1033" s="2"/>
      <c r="X1033" s="1"/>
    </row>
    <row r="1034" spans="6:40" x14ac:dyDescent="0.55000000000000004">
      <c r="F1034" s="1"/>
      <c r="H1034" s="2"/>
    </row>
    <row r="1035" spans="6:40" x14ac:dyDescent="0.55000000000000004">
      <c r="F1035" s="1"/>
      <c r="G1035" s="1"/>
      <c r="H1035" s="2"/>
      <c r="X1035" s="1"/>
    </row>
    <row r="1036" spans="6:40" x14ac:dyDescent="0.55000000000000004">
      <c r="F1036" s="1"/>
      <c r="H1036" s="2"/>
    </row>
    <row r="1037" spans="6:40" x14ac:dyDescent="0.55000000000000004">
      <c r="F1037" s="1"/>
      <c r="G1037" s="1"/>
      <c r="H1037" s="2"/>
      <c r="X1037" s="1"/>
    </row>
    <row r="1038" spans="6:40" x14ac:dyDescent="0.55000000000000004">
      <c r="F1038" s="1"/>
      <c r="G1038" s="1"/>
      <c r="H1038" s="2"/>
      <c r="X1038" s="1"/>
    </row>
    <row r="1039" spans="6:40" x14ac:dyDescent="0.55000000000000004">
      <c r="F1039" s="1"/>
      <c r="G1039" s="1"/>
      <c r="H1039" s="2"/>
      <c r="X1039" s="1"/>
    </row>
    <row r="1040" spans="6:40" x14ac:dyDescent="0.55000000000000004">
      <c r="F1040" s="1"/>
      <c r="G1040" s="1"/>
      <c r="H1040" s="2"/>
      <c r="X1040" s="1"/>
    </row>
    <row r="1041" spans="6:42" x14ac:dyDescent="0.55000000000000004">
      <c r="F1041" s="1"/>
      <c r="G1041" s="1"/>
      <c r="H1041" s="2"/>
      <c r="X1041" s="1"/>
    </row>
    <row r="1042" spans="6:42" x14ac:dyDescent="0.55000000000000004">
      <c r="F1042" s="1"/>
      <c r="G1042" s="1"/>
      <c r="H1042" s="2"/>
      <c r="X1042" s="1"/>
    </row>
    <row r="1043" spans="6:42" x14ac:dyDescent="0.55000000000000004">
      <c r="F1043" s="1"/>
      <c r="G1043" s="1"/>
      <c r="H1043" s="2"/>
      <c r="X1043" s="1"/>
    </row>
    <row r="1044" spans="6:42" x14ac:dyDescent="0.55000000000000004">
      <c r="F1044" s="1"/>
      <c r="G1044" s="1"/>
      <c r="H1044" s="2"/>
      <c r="X1044" s="1"/>
    </row>
    <row r="1045" spans="6:42" x14ac:dyDescent="0.55000000000000004">
      <c r="F1045" s="1"/>
      <c r="G1045" s="1"/>
      <c r="H1045" s="2"/>
      <c r="X1045" s="1"/>
    </row>
    <row r="1046" spans="6:42" x14ac:dyDescent="0.55000000000000004">
      <c r="F1046" s="1"/>
      <c r="G1046" s="1"/>
      <c r="H1046" s="2"/>
      <c r="X1046" s="1"/>
      <c r="AF1046" s="5"/>
      <c r="AN1046" s="5"/>
    </row>
    <row r="1047" spans="6:42" x14ac:dyDescent="0.55000000000000004">
      <c r="F1047" s="1"/>
      <c r="G1047" s="1"/>
      <c r="H1047" s="2"/>
      <c r="X1047" s="1"/>
    </row>
    <row r="1048" spans="6:42" x14ac:dyDescent="0.55000000000000004">
      <c r="F1048" s="1"/>
      <c r="G1048" s="1"/>
      <c r="H1048" s="2"/>
      <c r="X1048" s="1"/>
    </row>
    <row r="1049" spans="6:42" x14ac:dyDescent="0.55000000000000004">
      <c r="F1049" s="1"/>
      <c r="G1049" s="1"/>
      <c r="H1049" s="2"/>
      <c r="X1049" s="1"/>
      <c r="AP1049" s="2"/>
    </row>
    <row r="1050" spans="6:42" x14ac:dyDescent="0.55000000000000004">
      <c r="F1050" s="1"/>
      <c r="G1050" s="1"/>
      <c r="H1050" s="2"/>
      <c r="X1050" s="1"/>
    </row>
    <row r="1051" spans="6:42" x14ac:dyDescent="0.55000000000000004">
      <c r="F1051" s="1"/>
      <c r="G1051" s="1"/>
      <c r="H1051" s="2"/>
      <c r="X1051" s="1"/>
    </row>
    <row r="1052" spans="6:42" x14ac:dyDescent="0.55000000000000004">
      <c r="F1052" s="1"/>
      <c r="G1052" s="1"/>
      <c r="H1052" s="2"/>
      <c r="X1052" s="1"/>
    </row>
    <row r="1053" spans="6:42" x14ac:dyDescent="0.55000000000000004">
      <c r="F1053" s="1"/>
      <c r="G1053" s="1"/>
      <c r="H1053" s="2"/>
      <c r="X1053" s="1"/>
    </row>
    <row r="1054" spans="6:42" x14ac:dyDescent="0.55000000000000004">
      <c r="F1054" s="1"/>
      <c r="G1054" s="1"/>
      <c r="H1054" s="2"/>
      <c r="X1054" s="1"/>
    </row>
    <row r="1055" spans="6:42" x14ac:dyDescent="0.55000000000000004">
      <c r="F1055" s="1"/>
      <c r="G1055" s="1"/>
      <c r="H1055" s="2"/>
      <c r="X1055" s="1"/>
    </row>
    <row r="1056" spans="6:42" x14ac:dyDescent="0.55000000000000004">
      <c r="F1056" s="1"/>
      <c r="G1056" s="1"/>
      <c r="H1056" s="2"/>
      <c r="X1056" s="1"/>
    </row>
    <row r="1057" spans="6:42" x14ac:dyDescent="0.55000000000000004">
      <c r="F1057" s="1"/>
      <c r="G1057" s="1"/>
      <c r="H1057" s="2"/>
      <c r="X1057" s="1"/>
    </row>
    <row r="1058" spans="6:42" x14ac:dyDescent="0.55000000000000004">
      <c r="F1058" s="1"/>
      <c r="G1058" s="1"/>
      <c r="H1058" s="2"/>
      <c r="X1058" s="1"/>
    </row>
    <row r="1059" spans="6:42" x14ac:dyDescent="0.55000000000000004">
      <c r="F1059" s="1"/>
      <c r="G1059" s="1"/>
      <c r="H1059" s="2"/>
      <c r="X1059" s="1"/>
    </row>
    <row r="1060" spans="6:42" x14ac:dyDescent="0.55000000000000004">
      <c r="F1060" s="1"/>
      <c r="G1060" s="1"/>
      <c r="H1060" s="2"/>
      <c r="X1060" s="1"/>
    </row>
    <row r="1061" spans="6:42" x14ac:dyDescent="0.55000000000000004">
      <c r="F1061" s="1"/>
      <c r="G1061" s="1"/>
      <c r="H1061" s="2"/>
      <c r="X1061" s="1"/>
      <c r="AF1061" s="3"/>
      <c r="AN1061" s="3"/>
    </row>
    <row r="1062" spans="6:42" x14ac:dyDescent="0.55000000000000004">
      <c r="F1062" s="1"/>
      <c r="G1062" s="1"/>
      <c r="H1062" s="2"/>
      <c r="X1062" s="1"/>
    </row>
    <row r="1063" spans="6:42" x14ac:dyDescent="0.55000000000000004">
      <c r="F1063" s="1"/>
      <c r="G1063" s="1"/>
      <c r="H1063" s="2"/>
      <c r="X1063" s="1"/>
    </row>
    <row r="1064" spans="6:42" x14ac:dyDescent="0.55000000000000004">
      <c r="F1064" s="1"/>
      <c r="G1064" s="1"/>
      <c r="H1064" s="2"/>
      <c r="X1064" s="1"/>
      <c r="AP1064" s="2"/>
    </row>
    <row r="1065" spans="6:42" x14ac:dyDescent="0.55000000000000004">
      <c r="F1065" s="1"/>
      <c r="G1065" s="1"/>
      <c r="H1065" s="2"/>
      <c r="X1065" s="1"/>
    </row>
    <row r="1066" spans="6:42" x14ac:dyDescent="0.55000000000000004">
      <c r="F1066" s="1"/>
      <c r="G1066" s="1"/>
      <c r="H1066" s="2"/>
      <c r="X1066" s="1"/>
      <c r="AF1066" s="4"/>
      <c r="AN1066" s="4"/>
    </row>
    <row r="1067" spans="6:42" x14ac:dyDescent="0.55000000000000004">
      <c r="F1067" s="1"/>
      <c r="G1067" s="1"/>
      <c r="H1067" s="2"/>
      <c r="X1067" s="1"/>
    </row>
    <row r="1068" spans="6:42" x14ac:dyDescent="0.55000000000000004">
      <c r="F1068" s="1"/>
      <c r="G1068" s="1"/>
      <c r="H1068" s="2"/>
      <c r="X1068" s="1"/>
    </row>
    <row r="1069" spans="6:42" x14ac:dyDescent="0.55000000000000004">
      <c r="F1069" s="1"/>
      <c r="G1069" s="1"/>
      <c r="H1069" s="2"/>
      <c r="X1069" s="1"/>
    </row>
    <row r="1070" spans="6:42" x14ac:dyDescent="0.55000000000000004">
      <c r="F1070" s="1"/>
      <c r="G1070" s="1"/>
      <c r="H1070" s="2"/>
      <c r="X1070" s="1"/>
    </row>
    <row r="1071" spans="6:42" x14ac:dyDescent="0.55000000000000004">
      <c r="F1071" s="1"/>
      <c r="G1071" s="1"/>
      <c r="H1071" s="2"/>
      <c r="X1071" s="1"/>
    </row>
    <row r="1072" spans="6:42" x14ac:dyDescent="0.55000000000000004">
      <c r="F1072" s="1"/>
      <c r="G1072" s="1"/>
      <c r="H1072" s="2"/>
      <c r="X1072" s="1"/>
    </row>
    <row r="1073" spans="6:24" x14ac:dyDescent="0.55000000000000004">
      <c r="F1073" s="1"/>
      <c r="G1073" s="1"/>
      <c r="H1073" s="2"/>
      <c r="X1073" s="1"/>
    </row>
    <row r="1074" spans="6:24" x14ac:dyDescent="0.55000000000000004">
      <c r="F1074" s="1"/>
      <c r="G1074" s="1"/>
      <c r="H1074" s="2"/>
      <c r="X1074" s="1"/>
    </row>
    <row r="1075" spans="6:24" x14ac:dyDescent="0.55000000000000004">
      <c r="F1075" s="1"/>
      <c r="G1075" s="1"/>
      <c r="H1075" s="2"/>
      <c r="X1075" s="1"/>
    </row>
    <row r="1076" spans="6:24" x14ac:dyDescent="0.55000000000000004">
      <c r="F1076" s="1"/>
      <c r="G1076" s="1"/>
      <c r="H1076" s="2"/>
      <c r="X1076" s="1"/>
    </row>
    <row r="1077" spans="6:24" x14ac:dyDescent="0.55000000000000004">
      <c r="F1077" s="1"/>
      <c r="G1077" s="1"/>
      <c r="H1077" s="2"/>
      <c r="X1077" s="1"/>
    </row>
    <row r="1078" spans="6:24" x14ac:dyDescent="0.55000000000000004">
      <c r="F1078" s="1"/>
      <c r="G1078" s="1"/>
      <c r="H1078" s="2"/>
      <c r="X1078" s="1"/>
    </row>
    <row r="1079" spans="6:24" x14ac:dyDescent="0.55000000000000004">
      <c r="F1079" s="1"/>
      <c r="G1079" s="1"/>
      <c r="H1079" s="2"/>
      <c r="X1079" s="1"/>
    </row>
    <row r="1080" spans="6:24" x14ac:dyDescent="0.55000000000000004">
      <c r="F1080" s="1"/>
      <c r="G1080" s="1"/>
      <c r="H1080" s="2"/>
      <c r="X1080" s="1"/>
    </row>
    <row r="1081" spans="6:24" x14ac:dyDescent="0.55000000000000004">
      <c r="F1081" s="1"/>
      <c r="G1081" s="1"/>
      <c r="H1081" s="2"/>
      <c r="X1081" s="1"/>
    </row>
    <row r="1082" spans="6:24" x14ac:dyDescent="0.55000000000000004">
      <c r="F1082" s="1"/>
      <c r="G1082" s="1"/>
      <c r="H1082" s="2"/>
      <c r="X1082" s="1"/>
    </row>
    <row r="1083" spans="6:24" x14ac:dyDescent="0.55000000000000004">
      <c r="F1083" s="1"/>
      <c r="G1083" s="1"/>
      <c r="H1083" s="2"/>
      <c r="X1083" s="1"/>
    </row>
    <row r="1084" spans="6:24" x14ac:dyDescent="0.55000000000000004">
      <c r="F1084" s="1"/>
      <c r="G1084" s="1"/>
      <c r="H1084" s="2"/>
      <c r="X1084" s="1"/>
    </row>
    <row r="1085" spans="6:24" x14ac:dyDescent="0.55000000000000004">
      <c r="F1085" s="1"/>
      <c r="G1085" s="1"/>
      <c r="H1085" s="2"/>
      <c r="X1085" s="1"/>
    </row>
    <row r="1086" spans="6:24" x14ac:dyDescent="0.55000000000000004">
      <c r="F1086" s="1"/>
      <c r="G1086" s="1"/>
      <c r="H1086" s="2"/>
      <c r="X1086" s="1"/>
    </row>
    <row r="1087" spans="6:24" x14ac:dyDescent="0.55000000000000004">
      <c r="F1087" s="1"/>
      <c r="G1087" s="1"/>
      <c r="H1087" s="2"/>
      <c r="X1087" s="1"/>
    </row>
    <row r="1088" spans="6:24" x14ac:dyDescent="0.55000000000000004">
      <c r="F1088" s="1"/>
      <c r="G1088" s="1"/>
      <c r="H1088" s="2"/>
      <c r="X1088" s="1"/>
    </row>
    <row r="1089" spans="6:40" x14ac:dyDescent="0.55000000000000004">
      <c r="F1089" s="1"/>
      <c r="G1089" s="1"/>
      <c r="H1089" s="2"/>
      <c r="X1089" s="1"/>
    </row>
    <row r="1090" spans="6:40" x14ac:dyDescent="0.55000000000000004">
      <c r="F1090" s="1"/>
      <c r="G1090" s="1"/>
      <c r="H1090" s="2"/>
      <c r="X1090" s="1"/>
    </row>
    <row r="1091" spans="6:40" x14ac:dyDescent="0.55000000000000004">
      <c r="F1091" s="1"/>
      <c r="G1091" s="1"/>
      <c r="H1091" s="2"/>
      <c r="X1091" s="1"/>
    </row>
    <row r="1092" spans="6:40" x14ac:dyDescent="0.55000000000000004">
      <c r="F1092" s="1"/>
      <c r="G1092" s="1"/>
      <c r="H1092" s="2"/>
      <c r="X1092" s="1"/>
      <c r="AF1092" s="4"/>
      <c r="AN1092" s="4"/>
    </row>
    <row r="1093" spans="6:40" x14ac:dyDescent="0.55000000000000004">
      <c r="F1093" s="1"/>
      <c r="G1093" s="1"/>
      <c r="H1093" s="2"/>
      <c r="X1093" s="1"/>
      <c r="AF1093" s="5"/>
      <c r="AN1093" s="5"/>
    </row>
    <row r="1094" spans="6:40" x14ac:dyDescent="0.55000000000000004">
      <c r="F1094" s="1"/>
      <c r="G1094" s="1"/>
      <c r="H1094" s="2"/>
      <c r="X1094" s="1"/>
    </row>
    <row r="1095" spans="6:40" x14ac:dyDescent="0.55000000000000004">
      <c r="F1095" s="1"/>
      <c r="G1095" s="1"/>
      <c r="H1095" s="2"/>
      <c r="X1095" s="1"/>
    </row>
    <row r="1096" spans="6:40" x14ac:dyDescent="0.55000000000000004">
      <c r="F1096" s="1"/>
      <c r="G1096" s="1"/>
      <c r="H1096" s="2"/>
      <c r="X1096" s="1"/>
    </row>
    <row r="1097" spans="6:40" x14ac:dyDescent="0.55000000000000004">
      <c r="F1097" s="1"/>
      <c r="G1097" s="1"/>
      <c r="H1097" s="2"/>
      <c r="X1097" s="1"/>
    </row>
    <row r="1098" spans="6:40" x14ac:dyDescent="0.55000000000000004">
      <c r="F1098" s="1"/>
      <c r="G1098" s="1"/>
      <c r="H1098" s="2"/>
      <c r="X1098" s="1"/>
    </row>
    <row r="1099" spans="6:40" x14ac:dyDescent="0.55000000000000004">
      <c r="F1099" s="1"/>
      <c r="G1099" s="1"/>
      <c r="H1099" s="2"/>
      <c r="X1099" s="1"/>
    </row>
    <row r="1100" spans="6:40" x14ac:dyDescent="0.55000000000000004">
      <c r="F1100" s="1"/>
      <c r="G1100" s="1"/>
      <c r="H1100" s="2"/>
      <c r="X1100" s="1"/>
    </row>
    <row r="1101" spans="6:40" x14ac:dyDescent="0.55000000000000004">
      <c r="F1101" s="1"/>
      <c r="G1101" s="1"/>
      <c r="H1101" s="2"/>
      <c r="X1101" s="1"/>
    </row>
    <row r="1102" spans="6:40" x14ac:dyDescent="0.55000000000000004">
      <c r="F1102" s="1"/>
      <c r="G1102" s="1"/>
      <c r="H1102" s="2"/>
      <c r="X1102" s="1"/>
    </row>
    <row r="1103" spans="6:40" x14ac:dyDescent="0.55000000000000004">
      <c r="F1103" s="1"/>
      <c r="G1103" s="1"/>
      <c r="H1103" s="2"/>
      <c r="X1103" s="1"/>
      <c r="AF1103" s="4"/>
      <c r="AN1103" s="4"/>
    </row>
    <row r="1104" spans="6:40" x14ac:dyDescent="0.55000000000000004">
      <c r="F1104" s="1"/>
      <c r="G1104" s="1"/>
      <c r="H1104" s="2"/>
      <c r="X1104" s="1"/>
    </row>
    <row r="1105" spans="6:42" x14ac:dyDescent="0.55000000000000004">
      <c r="F1105" s="1"/>
      <c r="G1105" s="1"/>
      <c r="H1105" s="2"/>
      <c r="X1105" s="1"/>
    </row>
    <row r="1106" spans="6:42" x14ac:dyDescent="0.55000000000000004">
      <c r="F1106" s="1"/>
      <c r="G1106" s="1"/>
      <c r="H1106" s="2"/>
      <c r="X1106" s="1"/>
    </row>
    <row r="1107" spans="6:42" x14ac:dyDescent="0.55000000000000004">
      <c r="F1107" s="1"/>
      <c r="H1107" s="2"/>
    </row>
    <row r="1108" spans="6:42" x14ac:dyDescent="0.55000000000000004">
      <c r="F1108" s="1"/>
      <c r="G1108" s="1"/>
      <c r="H1108" s="2"/>
      <c r="X1108" s="1"/>
      <c r="AF1108" s="4"/>
      <c r="AN1108" s="4"/>
    </row>
    <row r="1109" spans="6:42" x14ac:dyDescent="0.55000000000000004">
      <c r="F1109" s="1"/>
      <c r="G1109" s="1"/>
      <c r="H1109" s="2"/>
      <c r="X1109" s="1"/>
    </row>
    <row r="1110" spans="6:42" x14ac:dyDescent="0.55000000000000004">
      <c r="F1110" s="1"/>
      <c r="G1110" s="1"/>
      <c r="H1110" s="2"/>
      <c r="X1110" s="1"/>
    </row>
    <row r="1111" spans="6:42" x14ac:dyDescent="0.55000000000000004">
      <c r="F1111" s="1"/>
      <c r="G1111" s="1"/>
      <c r="H1111" s="2"/>
      <c r="X1111" s="1"/>
    </row>
    <row r="1112" spans="6:42" x14ac:dyDescent="0.55000000000000004">
      <c r="F1112" s="1"/>
      <c r="G1112" s="1"/>
      <c r="H1112" s="2"/>
      <c r="X1112" s="1"/>
    </row>
    <row r="1113" spans="6:42" x14ac:dyDescent="0.55000000000000004">
      <c r="F1113" s="1"/>
      <c r="G1113" s="1"/>
      <c r="H1113" s="2"/>
      <c r="X1113" s="1"/>
    </row>
    <row r="1114" spans="6:42" x14ac:dyDescent="0.55000000000000004">
      <c r="F1114" s="1"/>
      <c r="G1114" s="1"/>
      <c r="H1114" s="2"/>
      <c r="X1114" s="1"/>
    </row>
    <row r="1115" spans="6:42" x14ac:dyDescent="0.55000000000000004">
      <c r="F1115" s="1"/>
      <c r="G1115" s="1"/>
      <c r="H1115" s="2"/>
      <c r="X1115" s="1"/>
    </row>
    <row r="1116" spans="6:42" x14ac:dyDescent="0.55000000000000004">
      <c r="F1116" s="1"/>
      <c r="G1116" s="1"/>
      <c r="H1116" s="2"/>
      <c r="X1116" s="1"/>
      <c r="AP1116" s="2"/>
    </row>
    <row r="1117" spans="6:42" x14ac:dyDescent="0.55000000000000004">
      <c r="F1117" s="1"/>
      <c r="G1117" s="1"/>
      <c r="H1117" s="2"/>
      <c r="X1117" s="1"/>
      <c r="AF1117" s="4"/>
      <c r="AN1117" s="4"/>
    </row>
    <row r="1118" spans="6:42" x14ac:dyDescent="0.55000000000000004">
      <c r="F1118" s="1"/>
      <c r="G1118" s="1"/>
      <c r="H1118" s="2"/>
      <c r="X1118" s="1"/>
    </row>
    <row r="1119" spans="6:42" x14ac:dyDescent="0.55000000000000004">
      <c r="F1119" s="1"/>
      <c r="G1119" s="1"/>
      <c r="H1119" s="2"/>
      <c r="X1119" s="1"/>
    </row>
    <row r="1120" spans="6:42" x14ac:dyDescent="0.55000000000000004">
      <c r="F1120" s="1"/>
      <c r="G1120" s="1"/>
      <c r="H1120" s="2"/>
      <c r="X1120" s="1"/>
    </row>
    <row r="1121" spans="6:40" x14ac:dyDescent="0.55000000000000004">
      <c r="F1121" s="1"/>
      <c r="G1121" s="1"/>
      <c r="H1121" s="2"/>
      <c r="X1121" s="1"/>
      <c r="AF1121" s="4"/>
      <c r="AN1121" s="4"/>
    </row>
    <row r="1122" spans="6:40" x14ac:dyDescent="0.55000000000000004">
      <c r="F1122" s="1"/>
      <c r="G1122" s="1"/>
      <c r="H1122" s="2"/>
      <c r="X1122" s="1"/>
    </row>
    <row r="1123" spans="6:40" x14ac:dyDescent="0.55000000000000004">
      <c r="F1123" s="1"/>
      <c r="G1123" s="1"/>
      <c r="H1123" s="2"/>
      <c r="X1123" s="1"/>
    </row>
    <row r="1124" spans="6:40" x14ac:dyDescent="0.55000000000000004">
      <c r="F1124" s="1"/>
      <c r="G1124" s="1"/>
      <c r="H1124" s="2"/>
      <c r="X1124" s="1"/>
    </row>
    <row r="1125" spans="6:40" x14ac:dyDescent="0.55000000000000004">
      <c r="F1125" s="1"/>
      <c r="G1125" s="1"/>
      <c r="H1125" s="2"/>
      <c r="X1125" s="1"/>
      <c r="AF1125" s="4"/>
      <c r="AN1125" s="4"/>
    </row>
    <row r="1126" spans="6:40" x14ac:dyDescent="0.55000000000000004">
      <c r="F1126" s="1"/>
      <c r="G1126" s="1"/>
      <c r="H1126" s="2"/>
      <c r="X1126" s="1"/>
    </row>
    <row r="1127" spans="6:40" x14ac:dyDescent="0.55000000000000004">
      <c r="F1127" s="1"/>
      <c r="G1127" s="1"/>
      <c r="H1127" s="2"/>
      <c r="X1127" s="1"/>
      <c r="AF1127" s="4"/>
      <c r="AN1127" s="4"/>
    </row>
    <row r="1128" spans="6:40" x14ac:dyDescent="0.55000000000000004">
      <c r="F1128" s="1"/>
      <c r="G1128" s="1"/>
      <c r="H1128" s="2"/>
      <c r="X1128" s="1"/>
    </row>
    <row r="1129" spans="6:40" x14ac:dyDescent="0.55000000000000004">
      <c r="F1129" s="1"/>
      <c r="G1129" s="1"/>
      <c r="H1129" s="2"/>
      <c r="X1129" s="1"/>
    </row>
    <row r="1130" spans="6:40" x14ac:dyDescent="0.55000000000000004">
      <c r="F1130" s="1"/>
      <c r="G1130" s="1"/>
      <c r="H1130" s="2"/>
      <c r="X1130" s="1"/>
    </row>
    <row r="1131" spans="6:40" x14ac:dyDescent="0.55000000000000004">
      <c r="F1131" s="1"/>
      <c r="G1131" s="1"/>
      <c r="H1131" s="2"/>
      <c r="X1131" s="1"/>
    </row>
    <row r="1132" spans="6:40" x14ac:dyDescent="0.55000000000000004">
      <c r="F1132" s="1"/>
      <c r="G1132" s="1"/>
      <c r="H1132" s="2"/>
      <c r="X1132" s="1"/>
    </row>
    <row r="1133" spans="6:40" x14ac:dyDescent="0.55000000000000004">
      <c r="F1133" s="1"/>
      <c r="G1133" s="1"/>
      <c r="H1133" s="2"/>
      <c r="X1133" s="1"/>
    </row>
    <row r="1134" spans="6:40" x14ac:dyDescent="0.55000000000000004">
      <c r="F1134" s="1"/>
      <c r="G1134" s="1"/>
      <c r="H1134" s="2"/>
      <c r="X1134" s="1"/>
    </row>
    <row r="1135" spans="6:40" x14ac:dyDescent="0.55000000000000004">
      <c r="F1135" s="1"/>
      <c r="G1135" s="1"/>
      <c r="H1135" s="2"/>
      <c r="X1135" s="1"/>
    </row>
    <row r="1136" spans="6:40" x14ac:dyDescent="0.55000000000000004">
      <c r="F1136" s="1"/>
      <c r="G1136" s="1"/>
      <c r="H1136" s="2"/>
      <c r="X1136" s="1"/>
    </row>
    <row r="1137" spans="6:40" x14ac:dyDescent="0.55000000000000004">
      <c r="F1137" s="1"/>
      <c r="G1137" s="1"/>
      <c r="H1137" s="2"/>
      <c r="X1137" s="1"/>
    </row>
    <row r="1138" spans="6:40" x14ac:dyDescent="0.55000000000000004">
      <c r="F1138" s="1"/>
      <c r="G1138" s="1"/>
      <c r="H1138" s="2"/>
      <c r="X1138" s="1"/>
    </row>
    <row r="1139" spans="6:40" x14ac:dyDescent="0.55000000000000004">
      <c r="F1139" s="1"/>
      <c r="G1139" s="1"/>
      <c r="H1139" s="2"/>
      <c r="X1139" s="1"/>
    </row>
    <row r="1140" spans="6:40" x14ac:dyDescent="0.55000000000000004">
      <c r="F1140" s="1"/>
      <c r="G1140" s="1"/>
      <c r="H1140" s="2"/>
      <c r="X1140" s="1"/>
    </row>
    <row r="1141" spans="6:40" x14ac:dyDescent="0.55000000000000004">
      <c r="F1141" s="1"/>
      <c r="G1141" s="1"/>
      <c r="H1141" s="2"/>
      <c r="X1141" s="1"/>
      <c r="AF1141" s="5"/>
      <c r="AN1141" s="5"/>
    </row>
    <row r="1142" spans="6:40" x14ac:dyDescent="0.55000000000000004">
      <c r="F1142" s="1"/>
      <c r="G1142" s="1"/>
      <c r="H1142" s="2"/>
      <c r="X1142" s="1"/>
    </row>
    <row r="1143" spans="6:40" x14ac:dyDescent="0.55000000000000004">
      <c r="F1143" s="1"/>
      <c r="G1143" s="1"/>
      <c r="H1143" s="2"/>
      <c r="X1143" s="1"/>
    </row>
    <row r="1144" spans="6:40" x14ac:dyDescent="0.55000000000000004">
      <c r="F1144" s="1"/>
      <c r="G1144" s="1"/>
      <c r="H1144" s="2"/>
      <c r="X1144" s="1"/>
    </row>
    <row r="1145" spans="6:40" x14ac:dyDescent="0.55000000000000004">
      <c r="F1145" s="1"/>
      <c r="G1145" s="1"/>
      <c r="H1145" s="2"/>
      <c r="X1145" s="1"/>
    </row>
    <row r="1146" spans="6:40" x14ac:dyDescent="0.55000000000000004">
      <c r="F1146" s="1"/>
      <c r="G1146" s="1"/>
      <c r="H1146" s="2"/>
      <c r="X1146" s="1"/>
    </row>
    <row r="1147" spans="6:40" x14ac:dyDescent="0.55000000000000004">
      <c r="F1147" s="1"/>
      <c r="G1147" s="1"/>
      <c r="H1147" s="2"/>
      <c r="X1147" s="1"/>
    </row>
    <row r="1148" spans="6:40" x14ac:dyDescent="0.55000000000000004">
      <c r="F1148" s="1"/>
      <c r="G1148" s="1"/>
      <c r="H1148" s="2"/>
      <c r="X1148" s="1"/>
    </row>
    <row r="1149" spans="6:40" x14ac:dyDescent="0.55000000000000004">
      <c r="F1149" s="1"/>
      <c r="G1149" s="1"/>
      <c r="H1149" s="2"/>
      <c r="X1149" s="1"/>
    </row>
    <row r="1150" spans="6:40" x14ac:dyDescent="0.55000000000000004">
      <c r="F1150" s="1"/>
      <c r="G1150" s="1"/>
      <c r="H1150" s="2"/>
      <c r="X1150" s="1"/>
    </row>
    <row r="1151" spans="6:40" x14ac:dyDescent="0.55000000000000004">
      <c r="F1151" s="1"/>
      <c r="H1151" s="2"/>
    </row>
    <row r="1152" spans="6:40" x14ac:dyDescent="0.55000000000000004">
      <c r="F1152" s="1"/>
      <c r="G1152" s="1"/>
      <c r="H1152" s="2"/>
      <c r="X1152" s="1"/>
    </row>
    <row r="1153" spans="6:40" x14ac:dyDescent="0.55000000000000004">
      <c r="F1153" s="1"/>
      <c r="G1153" s="1"/>
      <c r="H1153" s="2"/>
      <c r="X1153" s="1"/>
    </row>
    <row r="1154" spans="6:40" x14ac:dyDescent="0.55000000000000004">
      <c r="F1154" s="1"/>
      <c r="G1154" s="1"/>
      <c r="H1154" s="2"/>
      <c r="X1154" s="1"/>
    </row>
    <row r="1155" spans="6:40" x14ac:dyDescent="0.55000000000000004">
      <c r="F1155" s="1"/>
      <c r="G1155" s="1"/>
      <c r="H1155" s="2"/>
      <c r="X1155" s="1"/>
    </row>
    <row r="1156" spans="6:40" x14ac:dyDescent="0.55000000000000004">
      <c r="F1156" s="1"/>
      <c r="G1156" s="1"/>
      <c r="H1156" s="2"/>
      <c r="X1156" s="1"/>
    </row>
    <row r="1157" spans="6:40" x14ac:dyDescent="0.55000000000000004">
      <c r="F1157" s="1"/>
      <c r="G1157" s="1"/>
      <c r="H1157" s="2"/>
      <c r="X1157" s="1"/>
      <c r="AF1157" s="4"/>
      <c r="AN1157" s="4"/>
    </row>
    <row r="1158" spans="6:40" x14ac:dyDescent="0.55000000000000004">
      <c r="F1158" s="1"/>
      <c r="G1158" s="1"/>
      <c r="H1158" s="2"/>
      <c r="X1158" s="1"/>
    </row>
    <row r="1159" spans="6:40" x14ac:dyDescent="0.55000000000000004">
      <c r="F1159" s="1"/>
      <c r="G1159" s="1"/>
      <c r="H1159" s="2"/>
      <c r="X1159" s="1"/>
    </row>
    <row r="1160" spans="6:40" x14ac:dyDescent="0.55000000000000004">
      <c r="F1160" s="1"/>
      <c r="G1160" s="1"/>
      <c r="H1160" s="2"/>
      <c r="X1160" s="1"/>
    </row>
    <row r="1161" spans="6:40" x14ac:dyDescent="0.55000000000000004">
      <c r="F1161" s="1"/>
      <c r="G1161" s="1"/>
      <c r="H1161" s="2"/>
      <c r="X1161" s="1"/>
    </row>
    <row r="1162" spans="6:40" x14ac:dyDescent="0.55000000000000004">
      <c r="F1162" s="1"/>
      <c r="G1162" s="1"/>
      <c r="H1162" s="2"/>
      <c r="X1162" s="1"/>
      <c r="AF1162" s="4"/>
      <c r="AN1162" s="4"/>
    </row>
    <row r="1163" spans="6:40" x14ac:dyDescent="0.55000000000000004">
      <c r="F1163" s="1"/>
      <c r="G1163" s="1"/>
      <c r="H1163" s="2"/>
      <c r="X1163" s="1"/>
    </row>
    <row r="1164" spans="6:40" x14ac:dyDescent="0.55000000000000004">
      <c r="F1164" s="1"/>
      <c r="G1164" s="1"/>
      <c r="H1164" s="2"/>
      <c r="X1164" s="1"/>
    </row>
    <row r="1165" spans="6:40" x14ac:dyDescent="0.55000000000000004">
      <c r="F1165" s="1"/>
      <c r="G1165" s="1"/>
      <c r="H1165" s="2"/>
      <c r="X1165" s="1"/>
    </row>
    <row r="1166" spans="6:40" x14ac:dyDescent="0.55000000000000004">
      <c r="F1166" s="1"/>
      <c r="G1166" s="1"/>
      <c r="H1166" s="2"/>
      <c r="X1166" s="1"/>
    </row>
    <row r="1167" spans="6:40" x14ac:dyDescent="0.55000000000000004">
      <c r="F1167" s="1"/>
      <c r="G1167" s="1"/>
      <c r="H1167" s="2"/>
      <c r="X1167" s="1"/>
    </row>
    <row r="1168" spans="6:40" x14ac:dyDescent="0.55000000000000004">
      <c r="F1168" s="1"/>
      <c r="G1168" s="1"/>
      <c r="H1168" s="2"/>
      <c r="X1168" s="1"/>
    </row>
    <row r="1169" spans="6:42" x14ac:dyDescent="0.55000000000000004">
      <c r="F1169" s="1"/>
      <c r="G1169" s="1"/>
      <c r="H1169" s="2"/>
      <c r="X1169" s="1"/>
      <c r="AF1169" s="4"/>
      <c r="AN1169" s="4"/>
    </row>
    <row r="1170" spans="6:42" x14ac:dyDescent="0.55000000000000004">
      <c r="F1170" s="1"/>
      <c r="G1170" s="1"/>
      <c r="H1170" s="2"/>
      <c r="X1170" s="1"/>
    </row>
    <row r="1171" spans="6:42" x14ac:dyDescent="0.55000000000000004">
      <c r="F1171" s="1"/>
      <c r="G1171" s="1"/>
      <c r="H1171" s="2"/>
      <c r="X1171" s="1"/>
      <c r="AF1171" s="4"/>
      <c r="AN1171" s="4"/>
    </row>
    <row r="1172" spans="6:42" x14ac:dyDescent="0.55000000000000004">
      <c r="F1172" s="1"/>
      <c r="G1172" s="1"/>
      <c r="H1172" s="2"/>
      <c r="X1172" s="1"/>
    </row>
    <row r="1173" spans="6:42" x14ac:dyDescent="0.55000000000000004">
      <c r="F1173" s="1"/>
      <c r="G1173" s="1"/>
      <c r="H1173" s="2"/>
      <c r="X1173" s="1"/>
    </row>
    <row r="1174" spans="6:42" x14ac:dyDescent="0.55000000000000004">
      <c r="F1174" s="1"/>
      <c r="G1174" s="1"/>
      <c r="H1174" s="2"/>
      <c r="X1174" s="1"/>
    </row>
    <row r="1175" spans="6:42" x14ac:dyDescent="0.55000000000000004">
      <c r="F1175" s="1"/>
      <c r="G1175" s="1"/>
      <c r="H1175" s="2"/>
      <c r="X1175" s="1"/>
    </row>
    <row r="1176" spans="6:42" x14ac:dyDescent="0.55000000000000004">
      <c r="F1176" s="1"/>
      <c r="G1176" s="1"/>
      <c r="H1176" s="2"/>
      <c r="X1176" s="1"/>
      <c r="AP1176" s="2"/>
    </row>
    <row r="1177" spans="6:42" x14ac:dyDescent="0.55000000000000004">
      <c r="F1177" s="1"/>
      <c r="G1177" s="1"/>
      <c r="H1177" s="2"/>
      <c r="X1177" s="1"/>
    </row>
    <row r="1178" spans="6:42" x14ac:dyDescent="0.55000000000000004">
      <c r="F1178" s="1"/>
      <c r="G1178" s="1"/>
      <c r="H1178" s="2"/>
      <c r="X1178" s="1"/>
    </row>
    <row r="1179" spans="6:42" x14ac:dyDescent="0.55000000000000004">
      <c r="F1179" s="1"/>
      <c r="G1179" s="1"/>
      <c r="H1179" s="2"/>
      <c r="X1179" s="1"/>
    </row>
    <row r="1180" spans="6:42" x14ac:dyDescent="0.55000000000000004">
      <c r="F1180" s="1"/>
      <c r="G1180" s="1"/>
      <c r="H1180" s="2"/>
      <c r="X1180" s="1"/>
    </row>
    <row r="1181" spans="6:42" x14ac:dyDescent="0.55000000000000004">
      <c r="F1181" s="1"/>
      <c r="G1181" s="1"/>
      <c r="H1181" s="2"/>
      <c r="X1181" s="1"/>
    </row>
    <row r="1182" spans="6:42" x14ac:dyDescent="0.55000000000000004">
      <c r="F1182" s="1"/>
      <c r="G1182" s="1"/>
      <c r="H1182" s="2"/>
      <c r="X1182" s="1"/>
    </row>
    <row r="1183" spans="6:42" x14ac:dyDescent="0.55000000000000004">
      <c r="F1183" s="1"/>
      <c r="G1183" s="1"/>
      <c r="H1183" s="2"/>
      <c r="X1183" s="1"/>
      <c r="AF1183" s="4"/>
      <c r="AN1183" s="4"/>
    </row>
    <row r="1184" spans="6:42" x14ac:dyDescent="0.55000000000000004">
      <c r="F1184" s="1"/>
      <c r="G1184" s="1"/>
      <c r="H1184" s="2"/>
      <c r="X1184" s="1"/>
      <c r="AF1184" s="4"/>
      <c r="AN1184" s="4"/>
    </row>
    <row r="1185" spans="6:40" x14ac:dyDescent="0.55000000000000004">
      <c r="F1185" s="1"/>
      <c r="G1185" s="1"/>
      <c r="H1185" s="2"/>
      <c r="X1185" s="1"/>
    </row>
    <row r="1186" spans="6:40" x14ac:dyDescent="0.55000000000000004">
      <c r="F1186" s="1"/>
      <c r="G1186" s="1"/>
      <c r="H1186" s="2"/>
      <c r="X1186" s="1"/>
    </row>
    <row r="1187" spans="6:40" x14ac:dyDescent="0.55000000000000004">
      <c r="F1187" s="1"/>
      <c r="G1187" s="1"/>
      <c r="H1187" s="2"/>
      <c r="X1187" s="1"/>
    </row>
    <row r="1188" spans="6:40" x14ac:dyDescent="0.55000000000000004">
      <c r="F1188" s="1"/>
      <c r="G1188" s="1"/>
      <c r="H1188" s="2"/>
      <c r="X1188" s="1"/>
    </row>
    <row r="1189" spans="6:40" x14ac:dyDescent="0.55000000000000004">
      <c r="F1189" s="1"/>
      <c r="G1189" s="1"/>
      <c r="H1189" s="2"/>
      <c r="X1189" s="1"/>
      <c r="AF1189" s="4"/>
      <c r="AN1189" s="4"/>
    </row>
    <row r="1190" spans="6:40" x14ac:dyDescent="0.55000000000000004">
      <c r="F1190" s="1"/>
      <c r="G1190" s="1"/>
      <c r="H1190" s="2"/>
      <c r="X1190" s="1"/>
    </row>
    <row r="1191" spans="6:40" x14ac:dyDescent="0.55000000000000004">
      <c r="F1191" s="1"/>
      <c r="G1191" s="1"/>
      <c r="H1191" s="2"/>
      <c r="X1191" s="1"/>
    </row>
    <row r="1192" spans="6:40" x14ac:dyDescent="0.55000000000000004">
      <c r="F1192" s="1"/>
      <c r="G1192" s="1"/>
      <c r="H1192" s="2"/>
      <c r="X1192" s="1"/>
    </row>
    <row r="1193" spans="6:40" x14ac:dyDescent="0.55000000000000004">
      <c r="F1193" s="1"/>
      <c r="G1193" s="1"/>
      <c r="H1193" s="2"/>
      <c r="X1193" s="1"/>
    </row>
    <row r="1194" spans="6:40" x14ac:dyDescent="0.55000000000000004">
      <c r="F1194" s="1"/>
      <c r="G1194" s="1"/>
      <c r="H1194" s="2"/>
      <c r="X1194" s="1"/>
    </row>
    <row r="1195" spans="6:40" x14ac:dyDescent="0.55000000000000004">
      <c r="F1195" s="1"/>
      <c r="G1195" s="1"/>
      <c r="H1195" s="2"/>
      <c r="X1195" s="1"/>
    </row>
    <row r="1196" spans="6:40" x14ac:dyDescent="0.55000000000000004">
      <c r="F1196" s="1"/>
      <c r="G1196" s="1"/>
      <c r="H1196" s="2"/>
      <c r="X1196" s="1"/>
    </row>
    <row r="1197" spans="6:40" x14ac:dyDescent="0.55000000000000004">
      <c r="F1197" s="1"/>
      <c r="G1197" s="1"/>
      <c r="H1197" s="2"/>
      <c r="X1197" s="1"/>
    </row>
    <row r="1198" spans="6:40" x14ac:dyDescent="0.55000000000000004">
      <c r="F1198" s="1"/>
      <c r="G1198" s="1"/>
      <c r="H1198" s="2"/>
      <c r="X1198" s="1"/>
    </row>
    <row r="1199" spans="6:40" x14ac:dyDescent="0.55000000000000004">
      <c r="F1199" s="1"/>
      <c r="G1199" s="1"/>
      <c r="H1199" s="2"/>
      <c r="X1199" s="1"/>
    </row>
    <row r="1200" spans="6:40" x14ac:dyDescent="0.55000000000000004">
      <c r="F1200" s="1"/>
      <c r="G1200" s="1"/>
      <c r="H1200" s="2"/>
      <c r="X1200" s="1"/>
    </row>
    <row r="1201" spans="6:40" x14ac:dyDescent="0.55000000000000004">
      <c r="F1201" s="1"/>
      <c r="G1201" s="1"/>
      <c r="H1201" s="2"/>
      <c r="X1201" s="1"/>
    </row>
    <row r="1202" spans="6:40" x14ac:dyDescent="0.55000000000000004">
      <c r="F1202" s="1"/>
      <c r="G1202" s="1"/>
      <c r="H1202" s="2"/>
      <c r="X1202" s="1"/>
    </row>
    <row r="1203" spans="6:40" x14ac:dyDescent="0.55000000000000004">
      <c r="F1203" s="1"/>
      <c r="G1203" s="1"/>
      <c r="H1203" s="2"/>
      <c r="X1203" s="1"/>
    </row>
    <row r="1204" spans="6:40" x14ac:dyDescent="0.55000000000000004">
      <c r="F1204" s="1"/>
      <c r="G1204" s="1"/>
      <c r="H1204" s="2"/>
      <c r="X1204" s="1"/>
    </row>
    <row r="1205" spans="6:40" x14ac:dyDescent="0.55000000000000004">
      <c r="F1205" s="1"/>
      <c r="G1205" s="1"/>
      <c r="H1205" s="2"/>
      <c r="X1205" s="1"/>
    </row>
    <row r="1206" spans="6:40" x14ac:dyDescent="0.55000000000000004">
      <c r="F1206" s="1"/>
      <c r="G1206" s="1"/>
      <c r="H1206" s="2"/>
      <c r="X1206" s="1"/>
    </row>
    <row r="1207" spans="6:40" x14ac:dyDescent="0.55000000000000004">
      <c r="F1207" s="1"/>
      <c r="G1207" s="1"/>
      <c r="H1207" s="2"/>
      <c r="X1207" s="1"/>
    </row>
    <row r="1208" spans="6:40" x14ac:dyDescent="0.55000000000000004">
      <c r="F1208" s="1"/>
      <c r="G1208" s="1"/>
      <c r="H1208" s="2"/>
      <c r="X1208" s="1"/>
    </row>
    <row r="1209" spans="6:40" x14ac:dyDescent="0.55000000000000004">
      <c r="F1209" s="1"/>
      <c r="G1209" s="1"/>
      <c r="H1209" s="2"/>
      <c r="X1209" s="1"/>
    </row>
    <row r="1210" spans="6:40" x14ac:dyDescent="0.55000000000000004">
      <c r="F1210" s="1"/>
      <c r="G1210" s="1"/>
      <c r="H1210" s="2"/>
      <c r="X1210" s="1"/>
    </row>
    <row r="1211" spans="6:40" x14ac:dyDescent="0.55000000000000004">
      <c r="F1211" s="1"/>
      <c r="G1211" s="1"/>
      <c r="H1211" s="2"/>
      <c r="X1211" s="1"/>
    </row>
    <row r="1212" spans="6:40" x14ac:dyDescent="0.55000000000000004">
      <c r="F1212" s="1"/>
      <c r="G1212" s="1"/>
      <c r="H1212" s="2"/>
      <c r="X1212" s="1"/>
      <c r="AF1212" s="5"/>
      <c r="AN1212" s="5"/>
    </row>
    <row r="1213" spans="6:40" x14ac:dyDescent="0.55000000000000004">
      <c r="F1213" s="1"/>
      <c r="G1213" s="1"/>
      <c r="H1213" s="2"/>
      <c r="X1213" s="1"/>
    </row>
    <row r="1214" spans="6:40" x14ac:dyDescent="0.55000000000000004">
      <c r="F1214" s="1"/>
      <c r="G1214" s="1"/>
      <c r="H1214" s="2"/>
      <c r="X1214" s="1"/>
    </row>
    <row r="1215" spans="6:40" x14ac:dyDescent="0.55000000000000004">
      <c r="F1215" s="1"/>
      <c r="G1215" s="1"/>
      <c r="H1215" s="2"/>
      <c r="X1215" s="1"/>
    </row>
    <row r="1216" spans="6:40" x14ac:dyDescent="0.55000000000000004">
      <c r="F1216" s="1"/>
      <c r="G1216" s="1"/>
      <c r="H1216" s="2"/>
      <c r="X1216" s="1"/>
    </row>
    <row r="1217" spans="6:40" x14ac:dyDescent="0.55000000000000004">
      <c r="F1217" s="1"/>
      <c r="G1217" s="1"/>
      <c r="H1217" s="2"/>
      <c r="X1217" s="1"/>
    </row>
    <row r="1218" spans="6:40" x14ac:dyDescent="0.55000000000000004">
      <c r="F1218" s="1"/>
      <c r="G1218" s="1"/>
      <c r="H1218" s="2"/>
      <c r="X1218" s="1"/>
    </row>
    <row r="1219" spans="6:40" x14ac:dyDescent="0.55000000000000004">
      <c r="F1219" s="1"/>
      <c r="G1219" s="1"/>
      <c r="H1219" s="2"/>
      <c r="X1219" s="1"/>
    </row>
    <row r="1220" spans="6:40" x14ac:dyDescent="0.55000000000000004">
      <c r="F1220" s="1"/>
      <c r="H1220" s="2"/>
    </row>
    <row r="1221" spans="6:40" x14ac:dyDescent="0.55000000000000004">
      <c r="F1221" s="1"/>
      <c r="G1221" s="1"/>
      <c r="H1221" s="2"/>
      <c r="X1221" s="1"/>
    </row>
    <row r="1222" spans="6:40" x14ac:dyDescent="0.55000000000000004">
      <c r="F1222" s="1"/>
      <c r="G1222" s="1"/>
      <c r="H1222" s="2"/>
      <c r="X1222" s="1"/>
    </row>
    <row r="1223" spans="6:40" x14ac:dyDescent="0.55000000000000004">
      <c r="F1223" s="1"/>
      <c r="G1223" s="1"/>
      <c r="H1223" s="2"/>
      <c r="X1223" s="1"/>
    </row>
    <row r="1224" spans="6:40" x14ac:dyDescent="0.55000000000000004">
      <c r="F1224" s="1"/>
      <c r="G1224" s="1"/>
      <c r="H1224" s="2"/>
      <c r="X1224" s="1"/>
      <c r="AF1224" s="4"/>
      <c r="AN1224" s="4"/>
    </row>
    <row r="1225" spans="6:40" x14ac:dyDescent="0.55000000000000004">
      <c r="F1225" s="1"/>
      <c r="G1225" s="1"/>
      <c r="H1225" s="2"/>
      <c r="X1225" s="1"/>
    </row>
    <row r="1226" spans="6:40" x14ac:dyDescent="0.55000000000000004">
      <c r="F1226" s="1"/>
      <c r="G1226" s="1"/>
      <c r="H1226" s="2"/>
      <c r="X1226" s="1"/>
    </row>
    <row r="1227" spans="6:40" x14ac:dyDescent="0.55000000000000004">
      <c r="F1227" s="1"/>
      <c r="G1227" s="1"/>
      <c r="H1227" s="2"/>
      <c r="X1227" s="1"/>
    </row>
    <row r="1228" spans="6:40" x14ac:dyDescent="0.55000000000000004">
      <c r="F1228" s="1"/>
      <c r="G1228" s="1"/>
      <c r="H1228" s="2"/>
      <c r="X1228" s="1"/>
    </row>
    <row r="1229" spans="6:40" x14ac:dyDescent="0.55000000000000004">
      <c r="F1229" s="1"/>
      <c r="H1229" s="2"/>
    </row>
    <row r="1230" spans="6:40" x14ac:dyDescent="0.55000000000000004">
      <c r="F1230" s="1"/>
      <c r="G1230" s="1"/>
      <c r="H1230" s="2"/>
      <c r="X1230" s="1"/>
    </row>
    <row r="1231" spans="6:40" x14ac:dyDescent="0.55000000000000004">
      <c r="F1231" s="1"/>
      <c r="G1231" s="1"/>
      <c r="H1231" s="2"/>
      <c r="X1231" s="1"/>
    </row>
    <row r="1232" spans="6:40" x14ac:dyDescent="0.55000000000000004">
      <c r="F1232" s="1"/>
      <c r="G1232" s="1"/>
      <c r="H1232" s="2"/>
      <c r="X1232" s="1"/>
    </row>
    <row r="1233" spans="6:40" x14ac:dyDescent="0.55000000000000004">
      <c r="F1233" s="1"/>
      <c r="G1233" s="1"/>
      <c r="H1233" s="2"/>
      <c r="X1233" s="1"/>
    </row>
    <row r="1234" spans="6:40" x14ac:dyDescent="0.55000000000000004">
      <c r="F1234" s="1"/>
      <c r="G1234" s="1"/>
      <c r="H1234" s="2"/>
      <c r="X1234" s="1"/>
    </row>
    <row r="1235" spans="6:40" x14ac:dyDescent="0.55000000000000004">
      <c r="F1235" s="1"/>
      <c r="G1235" s="1"/>
      <c r="H1235" s="2"/>
      <c r="X1235" s="1"/>
    </row>
    <row r="1236" spans="6:40" x14ac:dyDescent="0.55000000000000004">
      <c r="F1236" s="1"/>
      <c r="G1236" s="1"/>
      <c r="H1236" s="2"/>
      <c r="X1236" s="1"/>
    </row>
    <row r="1237" spans="6:40" x14ac:dyDescent="0.55000000000000004">
      <c r="F1237" s="1"/>
      <c r="G1237" s="1"/>
      <c r="H1237" s="2"/>
      <c r="X1237" s="1"/>
      <c r="AF1237" s="4"/>
      <c r="AN1237" s="4"/>
    </row>
    <row r="1238" spans="6:40" x14ac:dyDescent="0.55000000000000004">
      <c r="F1238" s="1"/>
      <c r="G1238" s="1"/>
      <c r="H1238" s="2"/>
      <c r="X1238" s="1"/>
    </row>
    <row r="1239" spans="6:40" x14ac:dyDescent="0.55000000000000004">
      <c r="F1239" s="1"/>
      <c r="G1239" s="1"/>
      <c r="H1239" s="2"/>
      <c r="X1239" s="1"/>
    </row>
    <row r="1240" spans="6:40" x14ac:dyDescent="0.55000000000000004">
      <c r="F1240" s="1"/>
      <c r="G1240" s="1"/>
      <c r="H1240" s="2"/>
      <c r="X1240" s="1"/>
    </row>
    <row r="1241" spans="6:40" x14ac:dyDescent="0.55000000000000004">
      <c r="F1241" s="1"/>
      <c r="G1241" s="1"/>
      <c r="H1241" s="2"/>
      <c r="X1241" s="1"/>
    </row>
    <row r="1242" spans="6:40" x14ac:dyDescent="0.55000000000000004">
      <c r="F1242" s="1"/>
      <c r="G1242" s="1"/>
      <c r="H1242" s="2"/>
      <c r="X1242" s="1"/>
    </row>
    <row r="1243" spans="6:40" x14ac:dyDescent="0.55000000000000004">
      <c r="F1243" s="1"/>
      <c r="G1243" s="1"/>
      <c r="H1243" s="2"/>
      <c r="X1243" s="1"/>
    </row>
    <row r="1244" spans="6:40" x14ac:dyDescent="0.55000000000000004">
      <c r="F1244" s="1"/>
      <c r="G1244" s="1"/>
      <c r="H1244" s="2"/>
      <c r="X1244" s="1"/>
    </row>
    <row r="1245" spans="6:40" x14ac:dyDescent="0.55000000000000004">
      <c r="F1245" s="1"/>
      <c r="G1245" s="1"/>
      <c r="H1245" s="2"/>
      <c r="X1245" s="1"/>
      <c r="AF1245" s="4"/>
      <c r="AN1245" s="4"/>
    </row>
    <row r="1246" spans="6:40" x14ac:dyDescent="0.55000000000000004">
      <c r="F1246" s="1"/>
      <c r="G1246" s="1"/>
      <c r="H1246" s="2"/>
      <c r="X1246" s="1"/>
    </row>
    <row r="1247" spans="6:40" x14ac:dyDescent="0.55000000000000004">
      <c r="F1247" s="1"/>
      <c r="G1247" s="1"/>
      <c r="H1247" s="2"/>
      <c r="X1247" s="1"/>
    </row>
    <row r="1248" spans="6:40" x14ac:dyDescent="0.55000000000000004">
      <c r="F1248" s="1"/>
      <c r="G1248" s="1"/>
      <c r="H1248" s="2"/>
      <c r="X1248" s="1"/>
    </row>
    <row r="1249" spans="6:40" x14ac:dyDescent="0.55000000000000004">
      <c r="F1249" s="1"/>
      <c r="G1249" s="1"/>
      <c r="H1249" s="2"/>
      <c r="X1249" s="1"/>
    </row>
    <row r="1250" spans="6:40" x14ac:dyDescent="0.55000000000000004">
      <c r="F1250" s="1"/>
      <c r="G1250" s="1"/>
      <c r="H1250" s="2"/>
      <c r="X1250" s="1"/>
    </row>
    <row r="1251" spans="6:40" x14ac:dyDescent="0.55000000000000004">
      <c r="F1251" s="1"/>
      <c r="G1251" s="1"/>
      <c r="H1251" s="2"/>
      <c r="X1251" s="1"/>
      <c r="AF1251" s="4"/>
      <c r="AN1251" s="4"/>
    </row>
    <row r="1252" spans="6:40" x14ac:dyDescent="0.55000000000000004">
      <c r="F1252" s="1"/>
      <c r="G1252" s="1"/>
      <c r="H1252" s="2"/>
      <c r="X1252" s="1"/>
    </row>
    <row r="1253" spans="6:40" x14ac:dyDescent="0.55000000000000004">
      <c r="F1253" s="1"/>
      <c r="G1253" s="1"/>
      <c r="H1253" s="2"/>
      <c r="X1253" s="1"/>
    </row>
    <row r="1254" spans="6:40" x14ac:dyDescent="0.55000000000000004">
      <c r="F1254" s="1"/>
      <c r="G1254" s="1"/>
      <c r="H1254" s="2"/>
      <c r="X1254" s="1"/>
    </row>
    <row r="1255" spans="6:40" x14ac:dyDescent="0.55000000000000004">
      <c r="F1255" s="1"/>
      <c r="G1255" s="1"/>
      <c r="H1255" s="2"/>
      <c r="X1255" s="1"/>
      <c r="AF1255" s="4"/>
      <c r="AN1255" s="4"/>
    </row>
    <row r="1256" spans="6:40" x14ac:dyDescent="0.55000000000000004">
      <c r="F1256" s="1"/>
      <c r="G1256" s="1"/>
      <c r="H1256" s="2"/>
      <c r="X1256" s="1"/>
    </row>
    <row r="1257" spans="6:40" x14ac:dyDescent="0.55000000000000004">
      <c r="F1257" s="1"/>
      <c r="G1257" s="1"/>
      <c r="H1257" s="2"/>
      <c r="X1257" s="1"/>
    </row>
    <row r="1258" spans="6:40" x14ac:dyDescent="0.55000000000000004">
      <c r="F1258" s="1"/>
      <c r="G1258" s="1"/>
      <c r="H1258" s="2"/>
      <c r="X1258" s="1"/>
    </row>
    <row r="1259" spans="6:40" x14ac:dyDescent="0.55000000000000004">
      <c r="F1259" s="1"/>
      <c r="G1259" s="1"/>
      <c r="H1259" s="2"/>
      <c r="X1259" s="1"/>
    </row>
    <row r="1260" spans="6:40" x14ac:dyDescent="0.55000000000000004">
      <c r="F1260" s="1"/>
      <c r="G1260" s="1"/>
      <c r="H1260" s="2"/>
      <c r="X1260" s="1"/>
    </row>
    <row r="1261" spans="6:40" x14ac:dyDescent="0.55000000000000004">
      <c r="F1261" s="1"/>
      <c r="G1261" s="1"/>
      <c r="H1261" s="2"/>
      <c r="X1261" s="1"/>
    </row>
    <row r="1262" spans="6:40" x14ac:dyDescent="0.55000000000000004">
      <c r="F1262" s="1"/>
      <c r="G1262" s="1"/>
      <c r="H1262" s="2"/>
      <c r="X1262" s="1"/>
    </row>
    <row r="1263" spans="6:40" x14ac:dyDescent="0.55000000000000004">
      <c r="F1263" s="1"/>
      <c r="G1263" s="1"/>
      <c r="H1263" s="2"/>
      <c r="X1263" s="1"/>
    </row>
    <row r="1264" spans="6:40" x14ac:dyDescent="0.55000000000000004">
      <c r="F1264" s="1"/>
      <c r="G1264" s="1"/>
      <c r="H1264" s="2"/>
      <c r="X1264" s="1"/>
    </row>
    <row r="1265" spans="6:40" x14ac:dyDescent="0.55000000000000004">
      <c r="F1265" s="1"/>
      <c r="G1265" s="1"/>
      <c r="H1265" s="2"/>
      <c r="X1265" s="1"/>
    </row>
    <row r="1266" spans="6:40" x14ac:dyDescent="0.55000000000000004">
      <c r="F1266" s="1"/>
      <c r="G1266" s="1"/>
      <c r="H1266" s="2"/>
      <c r="X1266" s="1"/>
    </row>
    <row r="1267" spans="6:40" x14ac:dyDescent="0.55000000000000004">
      <c r="F1267" s="1"/>
      <c r="G1267" s="1"/>
      <c r="H1267" s="2"/>
      <c r="X1267" s="1"/>
    </row>
    <row r="1268" spans="6:40" x14ac:dyDescent="0.55000000000000004">
      <c r="F1268" s="1"/>
      <c r="G1268" s="1"/>
      <c r="H1268" s="2"/>
      <c r="X1268" s="1"/>
    </row>
    <row r="1269" spans="6:40" x14ac:dyDescent="0.55000000000000004">
      <c r="F1269" s="1"/>
      <c r="G1269" s="1"/>
      <c r="H1269" s="2"/>
      <c r="X1269" s="1"/>
      <c r="AF1269" s="5"/>
      <c r="AN1269" s="5"/>
    </row>
    <row r="1270" spans="6:40" x14ac:dyDescent="0.55000000000000004">
      <c r="F1270" s="1"/>
      <c r="G1270" s="1"/>
      <c r="H1270" s="2"/>
      <c r="X1270" s="1"/>
    </row>
    <row r="1271" spans="6:40" x14ac:dyDescent="0.55000000000000004">
      <c r="F1271" s="1"/>
      <c r="G1271" s="1"/>
      <c r="H1271" s="2"/>
      <c r="X1271" s="1"/>
    </row>
    <row r="1272" spans="6:40" x14ac:dyDescent="0.55000000000000004">
      <c r="F1272" s="1"/>
      <c r="G1272" s="1"/>
      <c r="H1272" s="2"/>
      <c r="X1272" s="1"/>
    </row>
    <row r="1273" spans="6:40" x14ac:dyDescent="0.55000000000000004">
      <c r="F1273" s="1"/>
      <c r="G1273" s="1"/>
      <c r="H1273" s="2"/>
      <c r="X1273" s="1"/>
    </row>
    <row r="1274" spans="6:40" x14ac:dyDescent="0.55000000000000004">
      <c r="F1274" s="1"/>
      <c r="G1274" s="1"/>
      <c r="H1274" s="2"/>
      <c r="X1274" s="1"/>
    </row>
    <row r="1275" spans="6:40" x14ac:dyDescent="0.55000000000000004">
      <c r="F1275" s="1"/>
      <c r="G1275" s="1"/>
      <c r="H1275" s="2"/>
      <c r="X1275" s="1"/>
    </row>
    <row r="1276" spans="6:40" x14ac:dyDescent="0.55000000000000004">
      <c r="F1276" s="1"/>
      <c r="G1276" s="1"/>
      <c r="H1276" s="2"/>
      <c r="X1276" s="1"/>
    </row>
    <row r="1277" spans="6:40" x14ac:dyDescent="0.55000000000000004">
      <c r="F1277" s="1"/>
      <c r="G1277" s="1"/>
      <c r="H1277" s="2"/>
      <c r="X1277" s="1"/>
      <c r="AF1277" s="4"/>
      <c r="AN1277" s="4"/>
    </row>
    <row r="1278" spans="6:40" x14ac:dyDescent="0.55000000000000004">
      <c r="F1278" s="1"/>
      <c r="G1278" s="1"/>
      <c r="H1278" s="2"/>
      <c r="X1278" s="1"/>
    </row>
    <row r="1279" spans="6:40" x14ac:dyDescent="0.55000000000000004">
      <c r="F1279" s="1"/>
      <c r="G1279" s="1"/>
      <c r="H1279" s="2"/>
      <c r="X1279" s="1"/>
    </row>
    <row r="1280" spans="6:40" x14ac:dyDescent="0.55000000000000004">
      <c r="F1280" s="1"/>
      <c r="G1280" s="1"/>
      <c r="H1280" s="2"/>
      <c r="X1280" s="1"/>
    </row>
    <row r="1281" spans="6:40" x14ac:dyDescent="0.55000000000000004">
      <c r="F1281" s="1"/>
      <c r="G1281" s="1"/>
      <c r="H1281" s="2"/>
      <c r="X1281" s="1"/>
    </row>
    <row r="1282" spans="6:40" x14ac:dyDescent="0.55000000000000004">
      <c r="F1282" s="1"/>
      <c r="G1282" s="1"/>
      <c r="H1282" s="2"/>
      <c r="X1282" s="1"/>
    </row>
    <row r="1283" spans="6:40" x14ac:dyDescent="0.55000000000000004">
      <c r="F1283" s="1"/>
      <c r="G1283" s="1"/>
      <c r="H1283" s="2"/>
      <c r="X1283" s="1"/>
    </row>
    <row r="1284" spans="6:40" x14ac:dyDescent="0.55000000000000004">
      <c r="F1284" s="1"/>
      <c r="G1284" s="1"/>
      <c r="H1284" s="2"/>
      <c r="X1284" s="1"/>
    </row>
    <row r="1285" spans="6:40" x14ac:dyDescent="0.55000000000000004">
      <c r="F1285" s="1"/>
      <c r="G1285" s="1"/>
      <c r="H1285" s="2"/>
      <c r="X1285" s="1"/>
    </row>
    <row r="1286" spans="6:40" x14ac:dyDescent="0.55000000000000004">
      <c r="F1286" s="1"/>
      <c r="G1286" s="1"/>
      <c r="H1286" s="2"/>
      <c r="X1286" s="1"/>
    </row>
    <row r="1287" spans="6:40" x14ac:dyDescent="0.55000000000000004">
      <c r="F1287" s="1"/>
      <c r="G1287" s="1"/>
      <c r="H1287" s="2"/>
      <c r="X1287" s="1"/>
    </row>
    <row r="1288" spans="6:40" x14ac:dyDescent="0.55000000000000004">
      <c r="F1288" s="1"/>
      <c r="G1288" s="1"/>
      <c r="H1288" s="2"/>
      <c r="X1288" s="1"/>
      <c r="AF1288" s="4"/>
      <c r="AN1288" s="4"/>
    </row>
    <row r="1289" spans="6:40" x14ac:dyDescent="0.55000000000000004">
      <c r="F1289" s="1"/>
      <c r="G1289" s="1"/>
      <c r="H1289" s="2"/>
      <c r="X1289" s="1"/>
    </row>
    <row r="1290" spans="6:40" x14ac:dyDescent="0.55000000000000004">
      <c r="F1290" s="1"/>
      <c r="G1290" s="1"/>
      <c r="H1290" s="2"/>
      <c r="X1290" s="1"/>
    </row>
    <row r="1291" spans="6:40" x14ac:dyDescent="0.55000000000000004">
      <c r="F1291" s="1"/>
      <c r="G1291" s="1"/>
      <c r="H1291" s="2"/>
      <c r="X1291" s="1"/>
    </row>
    <row r="1292" spans="6:40" x14ac:dyDescent="0.55000000000000004">
      <c r="F1292" s="1"/>
      <c r="G1292" s="1"/>
      <c r="H1292" s="2"/>
      <c r="X1292" s="1"/>
    </row>
    <row r="1293" spans="6:40" x14ac:dyDescent="0.55000000000000004">
      <c r="F1293" s="1"/>
      <c r="G1293" s="1"/>
      <c r="H1293" s="2"/>
      <c r="X1293" s="1"/>
    </row>
    <row r="1294" spans="6:40" x14ac:dyDescent="0.55000000000000004">
      <c r="F1294" s="1"/>
      <c r="G1294" s="1"/>
      <c r="H1294" s="2"/>
      <c r="X1294" s="1"/>
    </row>
    <row r="1295" spans="6:40" x14ac:dyDescent="0.55000000000000004">
      <c r="F1295" s="1"/>
      <c r="G1295" s="1"/>
      <c r="H1295" s="2"/>
      <c r="X1295" s="1"/>
    </row>
    <row r="1296" spans="6:40" x14ac:dyDescent="0.55000000000000004">
      <c r="F1296" s="1"/>
      <c r="G1296" s="1"/>
      <c r="H1296" s="2"/>
      <c r="X1296" s="1"/>
    </row>
    <row r="1297" spans="6:40" x14ac:dyDescent="0.55000000000000004">
      <c r="F1297" s="1"/>
      <c r="G1297" s="1"/>
      <c r="H1297" s="2"/>
      <c r="X1297" s="1"/>
    </row>
    <row r="1298" spans="6:40" x14ac:dyDescent="0.55000000000000004">
      <c r="F1298" s="1"/>
      <c r="G1298" s="1"/>
      <c r="H1298" s="2"/>
      <c r="X1298" s="1"/>
    </row>
    <row r="1299" spans="6:40" x14ac:dyDescent="0.55000000000000004">
      <c r="F1299" s="1"/>
      <c r="G1299" s="1"/>
      <c r="H1299" s="2"/>
      <c r="X1299" s="1"/>
    </row>
    <row r="1300" spans="6:40" x14ac:dyDescent="0.55000000000000004">
      <c r="F1300" s="1"/>
      <c r="G1300" s="1"/>
      <c r="H1300" s="2"/>
      <c r="X1300" s="1"/>
      <c r="AF1300" s="4"/>
      <c r="AN1300" s="4"/>
    </row>
    <row r="1301" spans="6:40" x14ac:dyDescent="0.55000000000000004">
      <c r="F1301" s="1"/>
      <c r="G1301" s="1"/>
      <c r="H1301" s="2"/>
      <c r="X1301" s="1"/>
      <c r="AF1301" s="4"/>
      <c r="AN1301" s="4"/>
    </row>
    <row r="1302" spans="6:40" x14ac:dyDescent="0.55000000000000004">
      <c r="F1302" s="1"/>
      <c r="G1302" s="1"/>
      <c r="H1302" s="2"/>
      <c r="X1302" s="1"/>
    </row>
    <row r="1303" spans="6:40" x14ac:dyDescent="0.55000000000000004">
      <c r="F1303" s="1"/>
      <c r="G1303" s="1"/>
      <c r="H1303" s="2"/>
      <c r="X1303" s="1"/>
    </row>
    <row r="1304" spans="6:40" x14ac:dyDescent="0.55000000000000004">
      <c r="F1304" s="1"/>
      <c r="G1304" s="1"/>
      <c r="H1304" s="2"/>
      <c r="X1304" s="1"/>
    </row>
    <row r="1305" spans="6:40" x14ac:dyDescent="0.55000000000000004">
      <c r="F1305" s="1"/>
      <c r="G1305" s="1"/>
      <c r="H1305" s="2"/>
      <c r="X1305" s="1"/>
    </row>
    <row r="1306" spans="6:40" x14ac:dyDescent="0.55000000000000004">
      <c r="F1306" s="1"/>
      <c r="G1306" s="1"/>
      <c r="H1306" s="2"/>
      <c r="X1306" s="1"/>
    </row>
    <row r="1307" spans="6:40" x14ac:dyDescent="0.55000000000000004">
      <c r="F1307" s="1"/>
      <c r="G1307" s="1"/>
      <c r="H1307" s="2"/>
      <c r="X1307" s="1"/>
      <c r="AF1307" s="4"/>
      <c r="AN1307" s="4"/>
    </row>
    <row r="1308" spans="6:40" x14ac:dyDescent="0.55000000000000004">
      <c r="F1308" s="1"/>
      <c r="G1308" s="1"/>
      <c r="H1308" s="2"/>
      <c r="X1308" s="1"/>
    </row>
    <row r="1309" spans="6:40" x14ac:dyDescent="0.55000000000000004">
      <c r="F1309" s="1"/>
      <c r="G1309" s="1"/>
      <c r="H1309" s="2"/>
      <c r="X1309" s="1"/>
    </row>
    <row r="1310" spans="6:40" x14ac:dyDescent="0.55000000000000004">
      <c r="F1310" s="1"/>
      <c r="G1310" s="1"/>
      <c r="H1310" s="2"/>
      <c r="X1310" s="1"/>
    </row>
    <row r="1311" spans="6:40" x14ac:dyDescent="0.55000000000000004">
      <c r="F1311" s="1"/>
      <c r="G1311" s="1"/>
      <c r="H1311" s="2"/>
      <c r="X1311" s="1"/>
    </row>
    <row r="1312" spans="6:40" x14ac:dyDescent="0.55000000000000004">
      <c r="F1312" s="1"/>
      <c r="G1312" s="1"/>
      <c r="H1312" s="2"/>
      <c r="X1312" s="1"/>
    </row>
    <row r="1313" spans="6:40" x14ac:dyDescent="0.55000000000000004">
      <c r="F1313" s="1"/>
      <c r="G1313" s="1"/>
      <c r="H1313" s="2"/>
      <c r="X1313" s="1"/>
    </row>
    <row r="1314" spans="6:40" x14ac:dyDescent="0.55000000000000004">
      <c r="F1314" s="1"/>
      <c r="G1314" s="1"/>
      <c r="H1314" s="2"/>
      <c r="X1314" s="1"/>
    </row>
    <row r="1315" spans="6:40" x14ac:dyDescent="0.55000000000000004">
      <c r="F1315" s="1"/>
      <c r="G1315" s="1"/>
      <c r="H1315" s="2"/>
      <c r="X1315" s="1"/>
    </row>
    <row r="1316" spans="6:40" x14ac:dyDescent="0.55000000000000004">
      <c r="F1316" s="1"/>
      <c r="G1316" s="1"/>
      <c r="H1316" s="2"/>
      <c r="X1316" s="1"/>
    </row>
    <row r="1317" spans="6:40" x14ac:dyDescent="0.55000000000000004">
      <c r="F1317" s="1"/>
      <c r="G1317" s="1"/>
      <c r="H1317" s="2"/>
      <c r="X1317" s="1"/>
    </row>
    <row r="1318" spans="6:40" x14ac:dyDescent="0.55000000000000004">
      <c r="F1318" s="1"/>
      <c r="G1318" s="1"/>
      <c r="H1318" s="2"/>
      <c r="X1318" s="1"/>
    </row>
    <row r="1319" spans="6:40" x14ac:dyDescent="0.55000000000000004">
      <c r="F1319" s="1"/>
      <c r="G1319" s="1"/>
      <c r="H1319" s="2"/>
      <c r="X1319" s="1"/>
    </row>
    <row r="1320" spans="6:40" x14ac:dyDescent="0.55000000000000004">
      <c r="F1320" s="1"/>
      <c r="G1320" s="1"/>
      <c r="H1320" s="2"/>
      <c r="X1320" s="1"/>
    </row>
    <row r="1321" spans="6:40" x14ac:dyDescent="0.55000000000000004">
      <c r="F1321" s="1"/>
      <c r="G1321" s="1"/>
      <c r="H1321" s="2"/>
      <c r="X1321" s="1"/>
    </row>
    <row r="1322" spans="6:40" x14ac:dyDescent="0.55000000000000004">
      <c r="F1322" s="1"/>
      <c r="G1322" s="1"/>
      <c r="H1322" s="2"/>
      <c r="X1322" s="1"/>
    </row>
    <row r="1323" spans="6:40" x14ac:dyDescent="0.55000000000000004">
      <c r="F1323" s="1"/>
      <c r="G1323" s="1"/>
      <c r="H1323" s="2"/>
      <c r="X1323" s="1"/>
    </row>
    <row r="1324" spans="6:40" x14ac:dyDescent="0.55000000000000004">
      <c r="F1324" s="1"/>
      <c r="G1324" s="1"/>
      <c r="H1324" s="2"/>
      <c r="X1324" s="1"/>
    </row>
    <row r="1325" spans="6:40" x14ac:dyDescent="0.55000000000000004">
      <c r="F1325" s="1"/>
      <c r="G1325" s="1"/>
      <c r="H1325" s="2"/>
      <c r="X1325" s="1"/>
      <c r="AF1325" s="5"/>
      <c r="AN1325" s="5"/>
    </row>
    <row r="1326" spans="6:40" x14ac:dyDescent="0.55000000000000004">
      <c r="F1326" s="1"/>
      <c r="G1326" s="1"/>
      <c r="H1326" s="2"/>
      <c r="X1326" s="1"/>
    </row>
    <row r="1327" spans="6:40" x14ac:dyDescent="0.55000000000000004">
      <c r="F1327" s="1"/>
      <c r="G1327" s="1"/>
      <c r="H1327" s="2"/>
      <c r="X1327" s="1"/>
    </row>
    <row r="1328" spans="6:40" x14ac:dyDescent="0.55000000000000004">
      <c r="F1328" s="1"/>
      <c r="G1328" s="1"/>
      <c r="H1328" s="2"/>
      <c r="X1328" s="1"/>
    </row>
    <row r="1329" spans="6:40" x14ac:dyDescent="0.55000000000000004">
      <c r="F1329" s="1"/>
      <c r="G1329" s="1"/>
      <c r="H1329" s="2"/>
      <c r="X1329" s="1"/>
    </row>
    <row r="1330" spans="6:40" x14ac:dyDescent="0.55000000000000004">
      <c r="F1330" s="1"/>
      <c r="G1330" s="1"/>
      <c r="H1330" s="2"/>
      <c r="X1330" s="1"/>
    </row>
    <row r="1331" spans="6:40" x14ac:dyDescent="0.55000000000000004">
      <c r="F1331" s="1"/>
      <c r="G1331" s="1"/>
      <c r="H1331" s="2"/>
      <c r="X1331" s="1"/>
    </row>
    <row r="1332" spans="6:40" x14ac:dyDescent="0.55000000000000004">
      <c r="F1332" s="1"/>
      <c r="G1332" s="1"/>
      <c r="H1332" s="2"/>
      <c r="X1332" s="1"/>
      <c r="AF1332" s="4"/>
      <c r="AN1332" s="4"/>
    </row>
    <row r="1333" spans="6:40" x14ac:dyDescent="0.55000000000000004">
      <c r="F1333" s="1"/>
      <c r="G1333" s="1"/>
      <c r="H1333" s="2"/>
      <c r="X1333" s="1"/>
    </row>
    <row r="1334" spans="6:40" x14ac:dyDescent="0.55000000000000004">
      <c r="F1334" s="1"/>
      <c r="G1334" s="1"/>
      <c r="H1334" s="2"/>
      <c r="X1334" s="1"/>
    </row>
    <row r="1335" spans="6:40" x14ac:dyDescent="0.55000000000000004">
      <c r="F1335" s="1"/>
      <c r="G1335" s="1"/>
      <c r="H1335" s="2"/>
      <c r="X1335" s="1"/>
    </row>
    <row r="1336" spans="6:40" x14ac:dyDescent="0.55000000000000004">
      <c r="F1336" s="1"/>
      <c r="G1336" s="1"/>
      <c r="H1336" s="2"/>
      <c r="X1336" s="1"/>
    </row>
    <row r="1337" spans="6:40" x14ac:dyDescent="0.55000000000000004">
      <c r="F1337" s="1"/>
      <c r="G1337" s="1"/>
      <c r="H1337" s="2"/>
      <c r="X1337" s="1"/>
    </row>
    <row r="1338" spans="6:40" x14ac:dyDescent="0.55000000000000004">
      <c r="F1338" s="1"/>
      <c r="G1338" s="1"/>
      <c r="H1338" s="2"/>
      <c r="X1338" s="1"/>
    </row>
    <row r="1339" spans="6:40" x14ac:dyDescent="0.55000000000000004">
      <c r="F1339" s="1"/>
      <c r="G1339" s="1"/>
      <c r="H1339" s="2"/>
      <c r="X1339" s="1"/>
    </row>
    <row r="1340" spans="6:40" x14ac:dyDescent="0.55000000000000004">
      <c r="F1340" s="1"/>
      <c r="G1340" s="1"/>
      <c r="H1340" s="2"/>
      <c r="X1340" s="1"/>
    </row>
    <row r="1341" spans="6:40" x14ac:dyDescent="0.55000000000000004">
      <c r="F1341" s="1"/>
      <c r="G1341" s="1"/>
      <c r="H1341" s="2"/>
      <c r="X1341" s="1"/>
    </row>
    <row r="1342" spans="6:40" x14ac:dyDescent="0.55000000000000004">
      <c r="F1342" s="1"/>
      <c r="G1342" s="1"/>
      <c r="H1342" s="2"/>
      <c r="X1342" s="1"/>
    </row>
    <row r="1343" spans="6:40" x14ac:dyDescent="0.55000000000000004">
      <c r="F1343" s="1"/>
      <c r="G1343" s="1"/>
      <c r="H1343" s="2"/>
      <c r="X1343" s="1"/>
    </row>
    <row r="1344" spans="6:40" x14ac:dyDescent="0.55000000000000004">
      <c r="F1344" s="1"/>
      <c r="G1344" s="1"/>
      <c r="H1344" s="2"/>
      <c r="X1344" s="1"/>
    </row>
    <row r="1345" spans="6:40" x14ac:dyDescent="0.55000000000000004">
      <c r="F1345" s="1"/>
      <c r="G1345" s="1"/>
      <c r="H1345" s="2"/>
      <c r="X1345" s="1"/>
    </row>
    <row r="1346" spans="6:40" x14ac:dyDescent="0.55000000000000004">
      <c r="F1346" s="1"/>
      <c r="G1346" s="1"/>
      <c r="H1346" s="2"/>
      <c r="X1346" s="1"/>
    </row>
    <row r="1347" spans="6:40" x14ac:dyDescent="0.55000000000000004">
      <c r="F1347" s="1"/>
      <c r="G1347" s="1"/>
      <c r="H1347" s="2"/>
      <c r="X1347" s="1"/>
    </row>
    <row r="1348" spans="6:40" x14ac:dyDescent="0.55000000000000004">
      <c r="F1348" s="1"/>
      <c r="G1348" s="1"/>
      <c r="H1348" s="2"/>
      <c r="X1348" s="1"/>
      <c r="AF1348" s="4"/>
      <c r="AN1348" s="4"/>
    </row>
    <row r="1349" spans="6:40" x14ac:dyDescent="0.55000000000000004">
      <c r="F1349" s="1"/>
      <c r="G1349" s="1"/>
      <c r="H1349" s="2"/>
      <c r="X1349" s="1"/>
    </row>
    <row r="1350" spans="6:40" x14ac:dyDescent="0.55000000000000004">
      <c r="F1350" s="1"/>
      <c r="G1350" s="1"/>
      <c r="H1350" s="2"/>
      <c r="X1350" s="1"/>
    </row>
    <row r="1351" spans="6:40" x14ac:dyDescent="0.55000000000000004">
      <c r="F1351" s="1"/>
      <c r="G1351" s="1"/>
      <c r="H1351" s="2"/>
      <c r="X1351" s="1"/>
    </row>
    <row r="1352" spans="6:40" x14ac:dyDescent="0.55000000000000004">
      <c r="F1352" s="1"/>
      <c r="G1352" s="1"/>
      <c r="H1352" s="2"/>
      <c r="X1352" s="1"/>
    </row>
    <row r="1353" spans="6:40" x14ac:dyDescent="0.55000000000000004">
      <c r="F1353" s="1"/>
      <c r="G1353" s="1"/>
      <c r="H1353" s="2"/>
      <c r="X1353" s="1"/>
    </row>
    <row r="1354" spans="6:40" x14ac:dyDescent="0.55000000000000004">
      <c r="F1354" s="1"/>
      <c r="G1354" s="1"/>
      <c r="H1354" s="2"/>
      <c r="X1354" s="1"/>
      <c r="AF1354" s="4"/>
      <c r="AN1354" s="4"/>
    </row>
    <row r="1355" spans="6:40" x14ac:dyDescent="0.55000000000000004">
      <c r="F1355" s="1"/>
      <c r="G1355" s="1"/>
      <c r="H1355" s="2"/>
      <c r="X1355" s="1"/>
    </row>
    <row r="1356" spans="6:40" x14ac:dyDescent="0.55000000000000004">
      <c r="F1356" s="1"/>
      <c r="G1356" s="1"/>
      <c r="H1356" s="2"/>
      <c r="X1356" s="1"/>
    </row>
    <row r="1357" spans="6:40" x14ac:dyDescent="0.55000000000000004">
      <c r="F1357" s="1"/>
      <c r="G1357" s="1"/>
      <c r="H1357" s="2"/>
      <c r="X1357" s="1"/>
    </row>
    <row r="1358" spans="6:40" x14ac:dyDescent="0.55000000000000004">
      <c r="F1358" s="1"/>
      <c r="G1358" s="1"/>
      <c r="H1358" s="2"/>
      <c r="X1358" s="1"/>
      <c r="AF1358" s="4"/>
      <c r="AN1358" s="4"/>
    </row>
    <row r="1359" spans="6:40" x14ac:dyDescent="0.55000000000000004">
      <c r="F1359" s="1"/>
      <c r="G1359" s="1"/>
      <c r="H1359" s="2"/>
      <c r="X1359" s="1"/>
    </row>
    <row r="1360" spans="6:40" x14ac:dyDescent="0.55000000000000004">
      <c r="F1360" s="1"/>
      <c r="G1360" s="1"/>
      <c r="H1360" s="2"/>
      <c r="X1360" s="1"/>
    </row>
    <row r="1361" spans="6:40" x14ac:dyDescent="0.55000000000000004">
      <c r="F1361" s="1"/>
      <c r="G1361" s="1"/>
      <c r="H1361" s="2"/>
      <c r="X1361" s="1"/>
    </row>
    <row r="1362" spans="6:40" x14ac:dyDescent="0.55000000000000004">
      <c r="F1362" s="1"/>
      <c r="G1362" s="1"/>
      <c r="H1362" s="2"/>
      <c r="X1362" s="1"/>
    </row>
    <row r="1363" spans="6:40" x14ac:dyDescent="0.55000000000000004">
      <c r="F1363" s="1"/>
      <c r="G1363" s="1"/>
      <c r="H1363" s="2"/>
      <c r="X1363" s="1"/>
    </row>
    <row r="1364" spans="6:40" x14ac:dyDescent="0.55000000000000004">
      <c r="F1364" s="1"/>
      <c r="G1364" s="1"/>
      <c r="H1364" s="2"/>
      <c r="X1364" s="1"/>
    </row>
    <row r="1365" spans="6:40" x14ac:dyDescent="0.55000000000000004">
      <c r="F1365" s="1"/>
      <c r="G1365" s="1"/>
      <c r="H1365" s="2"/>
      <c r="X1365" s="1"/>
    </row>
    <row r="1366" spans="6:40" x14ac:dyDescent="0.55000000000000004">
      <c r="F1366" s="1"/>
      <c r="G1366" s="1"/>
      <c r="H1366" s="2"/>
      <c r="X1366" s="1"/>
    </row>
    <row r="1367" spans="6:40" x14ac:dyDescent="0.55000000000000004">
      <c r="F1367" s="1"/>
      <c r="G1367" s="1"/>
      <c r="H1367" s="2"/>
      <c r="X1367" s="1"/>
    </row>
    <row r="1368" spans="6:40" x14ac:dyDescent="0.55000000000000004">
      <c r="F1368" s="1"/>
      <c r="G1368" s="1"/>
      <c r="H1368" s="2"/>
      <c r="X1368" s="1"/>
    </row>
    <row r="1369" spans="6:40" x14ac:dyDescent="0.55000000000000004">
      <c r="F1369" s="1"/>
      <c r="G1369" s="1"/>
      <c r="H1369" s="2"/>
      <c r="X1369" s="1"/>
      <c r="AF1369" s="5"/>
      <c r="AN1369" s="5"/>
    </row>
    <row r="1370" spans="6:40" x14ac:dyDescent="0.55000000000000004">
      <c r="F1370" s="1"/>
      <c r="G1370" s="1"/>
      <c r="H1370" s="2"/>
      <c r="X1370" s="1"/>
    </row>
    <row r="1371" spans="6:40" x14ac:dyDescent="0.55000000000000004">
      <c r="F1371" s="1"/>
      <c r="G1371" s="1"/>
      <c r="H1371" s="2"/>
      <c r="X1371" s="1"/>
    </row>
    <row r="1372" spans="6:40" x14ac:dyDescent="0.55000000000000004">
      <c r="F1372" s="1"/>
      <c r="G1372" s="1"/>
      <c r="H1372" s="2"/>
      <c r="X1372" s="1"/>
    </row>
    <row r="1373" spans="6:40" x14ac:dyDescent="0.55000000000000004">
      <c r="F1373" s="1"/>
      <c r="G1373" s="1"/>
      <c r="H1373" s="2"/>
      <c r="X1373" s="1"/>
    </row>
    <row r="1374" spans="6:40" x14ac:dyDescent="0.55000000000000004">
      <c r="F1374" s="1"/>
      <c r="H1374" s="2"/>
    </row>
    <row r="1375" spans="6:40" x14ac:dyDescent="0.55000000000000004">
      <c r="F1375" s="1"/>
      <c r="G1375" s="1"/>
      <c r="H1375" s="2"/>
      <c r="X1375" s="1"/>
    </row>
    <row r="1376" spans="6:40" x14ac:dyDescent="0.55000000000000004">
      <c r="F1376" s="1"/>
      <c r="G1376" s="1"/>
      <c r="H1376" s="2"/>
      <c r="X1376" s="1"/>
    </row>
    <row r="1377" spans="6:42" x14ac:dyDescent="0.55000000000000004">
      <c r="F1377" s="1"/>
      <c r="G1377" s="1"/>
      <c r="H1377" s="2"/>
      <c r="X1377" s="1"/>
    </row>
    <row r="1378" spans="6:42" x14ac:dyDescent="0.55000000000000004">
      <c r="F1378" s="1"/>
      <c r="G1378" s="1"/>
      <c r="H1378" s="2"/>
      <c r="X1378" s="1"/>
      <c r="AF1378" s="4"/>
      <c r="AN1378" s="4"/>
    </row>
    <row r="1379" spans="6:42" x14ac:dyDescent="0.55000000000000004">
      <c r="F1379" s="1"/>
      <c r="G1379" s="1"/>
      <c r="H1379" s="2"/>
      <c r="X1379" s="1"/>
    </row>
    <row r="1380" spans="6:42" x14ac:dyDescent="0.55000000000000004">
      <c r="F1380" s="1"/>
      <c r="G1380" s="1"/>
      <c r="H1380" s="2"/>
      <c r="X1380" s="1"/>
    </row>
    <row r="1381" spans="6:42" x14ac:dyDescent="0.55000000000000004">
      <c r="F1381" s="1"/>
      <c r="G1381" s="1"/>
      <c r="H1381" s="2"/>
      <c r="X1381" s="1"/>
    </row>
    <row r="1382" spans="6:42" x14ac:dyDescent="0.55000000000000004">
      <c r="F1382" s="1"/>
      <c r="G1382" s="1"/>
      <c r="H1382" s="2"/>
      <c r="X1382" s="1"/>
    </row>
    <row r="1383" spans="6:42" x14ac:dyDescent="0.55000000000000004">
      <c r="F1383" s="1"/>
      <c r="G1383" s="1"/>
      <c r="H1383" s="2"/>
      <c r="X1383" s="1"/>
    </row>
    <row r="1384" spans="6:42" x14ac:dyDescent="0.55000000000000004">
      <c r="F1384" s="1"/>
      <c r="G1384" s="1"/>
      <c r="H1384" s="2"/>
      <c r="X1384" s="1"/>
    </row>
    <row r="1385" spans="6:42" x14ac:dyDescent="0.55000000000000004">
      <c r="F1385" s="1"/>
      <c r="G1385" s="1"/>
      <c r="H1385" s="2"/>
      <c r="X1385" s="1"/>
      <c r="AF1385" s="4"/>
      <c r="AN1385" s="4"/>
    </row>
    <row r="1386" spans="6:42" x14ac:dyDescent="0.55000000000000004">
      <c r="F1386" s="1"/>
      <c r="G1386" s="1"/>
      <c r="H1386" s="2"/>
      <c r="X1386" s="1"/>
    </row>
    <row r="1387" spans="6:42" x14ac:dyDescent="0.55000000000000004">
      <c r="F1387" s="1"/>
      <c r="G1387" s="1"/>
      <c r="H1387" s="2"/>
      <c r="X1387" s="1"/>
    </row>
    <row r="1388" spans="6:42" x14ac:dyDescent="0.55000000000000004">
      <c r="F1388" s="1"/>
      <c r="G1388" s="1"/>
      <c r="H1388" s="2"/>
      <c r="X1388" s="1"/>
      <c r="AP1388" s="2"/>
    </row>
    <row r="1389" spans="6:42" x14ac:dyDescent="0.55000000000000004">
      <c r="F1389" s="1"/>
      <c r="G1389" s="1"/>
      <c r="H1389" s="2"/>
      <c r="X1389" s="1"/>
    </row>
    <row r="1390" spans="6:42" x14ac:dyDescent="0.55000000000000004">
      <c r="F1390" s="1"/>
      <c r="G1390" s="1"/>
      <c r="H1390" s="2"/>
      <c r="X1390" s="1"/>
    </row>
    <row r="1391" spans="6:42" x14ac:dyDescent="0.55000000000000004">
      <c r="F1391" s="1"/>
      <c r="G1391" s="1"/>
      <c r="H1391" s="2"/>
      <c r="X1391" s="1"/>
    </row>
    <row r="1392" spans="6:42" x14ac:dyDescent="0.55000000000000004">
      <c r="F1392" s="1"/>
      <c r="G1392" s="1"/>
      <c r="H1392" s="2"/>
      <c r="X1392" s="1"/>
    </row>
    <row r="1393" spans="6:42" x14ac:dyDescent="0.55000000000000004">
      <c r="F1393" s="1"/>
      <c r="G1393" s="1"/>
      <c r="H1393" s="2"/>
      <c r="X1393" s="1"/>
      <c r="AP1393" s="2"/>
    </row>
    <row r="1394" spans="6:42" x14ac:dyDescent="0.55000000000000004">
      <c r="F1394" s="1"/>
      <c r="G1394" s="1"/>
      <c r="H1394" s="2"/>
      <c r="X1394" s="1"/>
      <c r="AF1394" s="4"/>
      <c r="AN1394" s="4"/>
    </row>
    <row r="1395" spans="6:42" x14ac:dyDescent="0.55000000000000004">
      <c r="F1395" s="1"/>
      <c r="G1395" s="1"/>
      <c r="H1395" s="2"/>
      <c r="X1395" s="1"/>
      <c r="AF1395" s="4"/>
      <c r="AN1395" s="4"/>
    </row>
    <row r="1396" spans="6:42" x14ac:dyDescent="0.55000000000000004">
      <c r="F1396" s="1"/>
      <c r="G1396" s="1"/>
      <c r="H1396" s="2"/>
      <c r="X1396" s="1"/>
    </row>
    <row r="1397" spans="6:42" x14ac:dyDescent="0.55000000000000004">
      <c r="F1397" s="1"/>
      <c r="G1397" s="1"/>
      <c r="H1397" s="2"/>
      <c r="X1397" s="1"/>
    </row>
    <row r="1398" spans="6:42" x14ac:dyDescent="0.55000000000000004">
      <c r="F1398" s="1"/>
      <c r="G1398" s="1"/>
      <c r="H1398" s="2"/>
      <c r="X1398" s="1"/>
    </row>
    <row r="1399" spans="6:42" x14ac:dyDescent="0.55000000000000004">
      <c r="F1399" s="1"/>
      <c r="G1399" s="1"/>
      <c r="H1399" s="2"/>
      <c r="X1399" s="1"/>
    </row>
    <row r="1400" spans="6:42" x14ac:dyDescent="0.55000000000000004">
      <c r="F1400" s="1"/>
      <c r="G1400" s="1"/>
      <c r="H1400" s="2"/>
      <c r="X1400" s="1"/>
    </row>
    <row r="1401" spans="6:42" x14ac:dyDescent="0.55000000000000004">
      <c r="F1401" s="1"/>
      <c r="G1401" s="1"/>
      <c r="H1401" s="2"/>
      <c r="X1401" s="1"/>
      <c r="AF1401" s="4"/>
      <c r="AN1401" s="4"/>
    </row>
    <row r="1402" spans="6:42" x14ac:dyDescent="0.55000000000000004">
      <c r="F1402" s="1"/>
      <c r="G1402" s="1"/>
      <c r="H1402" s="2"/>
      <c r="X1402" s="1"/>
    </row>
    <row r="1403" spans="6:42" x14ac:dyDescent="0.55000000000000004">
      <c r="F1403" s="1"/>
      <c r="G1403" s="1"/>
      <c r="H1403" s="2"/>
      <c r="X1403" s="1"/>
    </row>
    <row r="1404" spans="6:42" x14ac:dyDescent="0.55000000000000004">
      <c r="F1404" s="1"/>
      <c r="G1404" s="1"/>
      <c r="H1404" s="2"/>
      <c r="X1404" s="1"/>
    </row>
    <row r="1405" spans="6:42" x14ac:dyDescent="0.55000000000000004">
      <c r="F1405" s="1"/>
      <c r="G1405" s="1"/>
      <c r="H1405" s="2"/>
      <c r="X1405" s="1"/>
    </row>
    <row r="1406" spans="6:42" x14ac:dyDescent="0.55000000000000004">
      <c r="F1406" s="1"/>
      <c r="G1406" s="1"/>
      <c r="H1406" s="2"/>
      <c r="X1406" s="1"/>
    </row>
    <row r="1407" spans="6:42" x14ac:dyDescent="0.55000000000000004">
      <c r="F1407" s="1"/>
      <c r="G1407" s="1"/>
      <c r="H1407" s="2"/>
      <c r="X1407" s="1"/>
    </row>
    <row r="1408" spans="6:42" x14ac:dyDescent="0.55000000000000004">
      <c r="F1408" s="1"/>
      <c r="G1408" s="1"/>
      <c r="H1408" s="2"/>
      <c r="X1408" s="1"/>
    </row>
    <row r="1409" spans="6:42" x14ac:dyDescent="0.55000000000000004">
      <c r="F1409" s="1"/>
      <c r="G1409" s="1"/>
      <c r="H1409" s="2"/>
      <c r="X1409" s="1"/>
    </row>
    <row r="1410" spans="6:42" x14ac:dyDescent="0.55000000000000004">
      <c r="F1410" s="1"/>
      <c r="G1410" s="1"/>
      <c r="H1410" s="2"/>
      <c r="X1410" s="1"/>
    </row>
    <row r="1411" spans="6:42" x14ac:dyDescent="0.55000000000000004">
      <c r="F1411" s="1"/>
      <c r="G1411" s="1"/>
      <c r="H1411" s="2"/>
      <c r="X1411" s="1"/>
    </row>
    <row r="1412" spans="6:42" x14ac:dyDescent="0.55000000000000004">
      <c r="F1412" s="1"/>
      <c r="G1412" s="1"/>
      <c r="H1412" s="2"/>
      <c r="X1412" s="1"/>
    </row>
    <row r="1413" spans="6:42" x14ac:dyDescent="0.55000000000000004">
      <c r="F1413" s="1"/>
      <c r="G1413" s="1"/>
      <c r="H1413" s="2"/>
      <c r="X1413" s="1"/>
      <c r="AP1413" s="2"/>
    </row>
    <row r="1414" spans="6:42" x14ac:dyDescent="0.55000000000000004">
      <c r="F1414" s="1"/>
      <c r="G1414" s="1"/>
      <c r="H1414" s="2"/>
      <c r="X1414" s="1"/>
    </row>
    <row r="1415" spans="6:42" x14ac:dyDescent="0.55000000000000004">
      <c r="F1415" s="1"/>
      <c r="G1415" s="1"/>
      <c r="H1415" s="2"/>
      <c r="X1415" s="1"/>
      <c r="AF1415" s="5"/>
      <c r="AN1415" s="5"/>
    </row>
    <row r="1416" spans="6:42" x14ac:dyDescent="0.55000000000000004">
      <c r="F1416" s="1"/>
      <c r="G1416" s="1"/>
      <c r="H1416" s="2"/>
      <c r="X1416" s="1"/>
    </row>
    <row r="1417" spans="6:42" x14ac:dyDescent="0.55000000000000004">
      <c r="F1417" s="1"/>
      <c r="G1417" s="1"/>
      <c r="H1417" s="2"/>
      <c r="X1417" s="1"/>
    </row>
    <row r="1418" spans="6:42" x14ac:dyDescent="0.55000000000000004">
      <c r="F1418" s="1"/>
      <c r="G1418" s="1"/>
      <c r="H1418" s="2"/>
      <c r="X1418" s="1"/>
    </row>
    <row r="1419" spans="6:42" x14ac:dyDescent="0.55000000000000004">
      <c r="F1419" s="1"/>
      <c r="G1419" s="1"/>
      <c r="H1419" s="2"/>
      <c r="X1419" s="1"/>
    </row>
    <row r="1420" spans="6:42" x14ac:dyDescent="0.55000000000000004">
      <c r="F1420" s="1"/>
      <c r="G1420" s="1"/>
      <c r="H1420" s="2"/>
      <c r="X1420" s="1"/>
    </row>
    <row r="1421" spans="6:42" x14ac:dyDescent="0.55000000000000004">
      <c r="F1421" s="1"/>
      <c r="G1421" s="1"/>
      <c r="H1421" s="2"/>
      <c r="X1421" s="1"/>
    </row>
    <row r="1422" spans="6:42" x14ac:dyDescent="0.55000000000000004">
      <c r="F1422" s="1"/>
      <c r="G1422" s="1"/>
      <c r="H1422" s="2"/>
      <c r="X1422" s="1"/>
      <c r="AF1422" s="4"/>
      <c r="AN1422" s="4"/>
    </row>
    <row r="1423" spans="6:42" x14ac:dyDescent="0.55000000000000004">
      <c r="F1423" s="1"/>
      <c r="G1423" s="1"/>
      <c r="H1423" s="2"/>
      <c r="X1423" s="1"/>
    </row>
    <row r="1424" spans="6:42" x14ac:dyDescent="0.55000000000000004">
      <c r="F1424" s="1"/>
      <c r="G1424" s="1"/>
      <c r="H1424" s="2"/>
      <c r="X1424" s="1"/>
    </row>
    <row r="1425" spans="6:40" x14ac:dyDescent="0.55000000000000004">
      <c r="F1425" s="1"/>
      <c r="G1425" s="1"/>
      <c r="H1425" s="2"/>
      <c r="X1425" s="1"/>
    </row>
    <row r="1426" spans="6:40" x14ac:dyDescent="0.55000000000000004">
      <c r="F1426" s="1"/>
      <c r="G1426" s="1"/>
      <c r="H1426" s="2"/>
      <c r="X1426" s="1"/>
    </row>
    <row r="1427" spans="6:40" x14ac:dyDescent="0.55000000000000004">
      <c r="F1427" s="1"/>
      <c r="G1427" s="1"/>
      <c r="H1427" s="2"/>
      <c r="X1427" s="1"/>
    </row>
    <row r="1428" spans="6:40" x14ac:dyDescent="0.55000000000000004">
      <c r="F1428" s="1"/>
      <c r="G1428" s="1"/>
      <c r="H1428" s="2"/>
      <c r="X1428" s="1"/>
    </row>
    <row r="1429" spans="6:40" x14ac:dyDescent="0.55000000000000004">
      <c r="F1429" s="1"/>
      <c r="G1429" s="1"/>
      <c r="H1429" s="2"/>
      <c r="X1429" s="1"/>
    </row>
    <row r="1430" spans="6:40" x14ac:dyDescent="0.55000000000000004">
      <c r="F1430" s="1"/>
      <c r="G1430" s="1"/>
      <c r="H1430" s="2"/>
      <c r="X1430" s="1"/>
    </row>
    <row r="1431" spans="6:40" x14ac:dyDescent="0.55000000000000004">
      <c r="F1431" s="1"/>
      <c r="G1431" s="1"/>
      <c r="H1431" s="2"/>
      <c r="X1431" s="1"/>
    </row>
    <row r="1432" spans="6:40" x14ac:dyDescent="0.55000000000000004">
      <c r="F1432" s="1"/>
      <c r="G1432" s="1"/>
      <c r="H1432" s="2"/>
      <c r="X1432" s="1"/>
    </row>
    <row r="1433" spans="6:40" x14ac:dyDescent="0.55000000000000004">
      <c r="F1433" s="1"/>
      <c r="G1433" s="1"/>
      <c r="H1433" s="2"/>
      <c r="X1433" s="1"/>
    </row>
    <row r="1434" spans="6:40" x14ac:dyDescent="0.55000000000000004">
      <c r="F1434" s="1"/>
      <c r="G1434" s="1"/>
      <c r="H1434" s="2"/>
      <c r="X1434" s="1"/>
      <c r="AF1434" s="4"/>
      <c r="AN1434" s="4"/>
    </row>
    <row r="1435" spans="6:40" x14ac:dyDescent="0.55000000000000004">
      <c r="F1435" s="1"/>
      <c r="G1435" s="1"/>
      <c r="H1435" s="2"/>
      <c r="X1435" s="1"/>
    </row>
    <row r="1436" spans="6:40" x14ac:dyDescent="0.55000000000000004">
      <c r="F1436" s="1"/>
      <c r="G1436" s="1"/>
      <c r="H1436" s="2"/>
      <c r="X1436" s="1"/>
    </row>
    <row r="1437" spans="6:40" x14ac:dyDescent="0.55000000000000004">
      <c r="F1437" s="1"/>
      <c r="G1437" s="1"/>
      <c r="H1437" s="2"/>
      <c r="X1437" s="1"/>
    </row>
    <row r="1438" spans="6:40" x14ac:dyDescent="0.55000000000000004">
      <c r="F1438" s="1"/>
      <c r="G1438" s="1"/>
      <c r="H1438" s="2"/>
      <c r="X1438" s="1"/>
    </row>
    <row r="1439" spans="6:40" x14ac:dyDescent="0.55000000000000004">
      <c r="F1439" s="1"/>
      <c r="G1439" s="1"/>
      <c r="H1439" s="2"/>
      <c r="X1439" s="1"/>
    </row>
    <row r="1440" spans="6:40" x14ac:dyDescent="0.55000000000000004">
      <c r="F1440" s="1"/>
      <c r="G1440" s="1"/>
      <c r="H1440" s="2"/>
      <c r="X1440" s="1"/>
    </row>
    <row r="1441" spans="6:40" x14ac:dyDescent="0.55000000000000004">
      <c r="F1441" s="1"/>
      <c r="G1441" s="1"/>
      <c r="H1441" s="2"/>
      <c r="X1441" s="1"/>
      <c r="AF1441" s="4"/>
      <c r="AN1441" s="4"/>
    </row>
    <row r="1442" spans="6:40" x14ac:dyDescent="0.55000000000000004">
      <c r="F1442" s="1"/>
      <c r="G1442" s="1"/>
      <c r="H1442" s="2"/>
      <c r="X1442" s="1"/>
    </row>
    <row r="1443" spans="6:40" x14ac:dyDescent="0.55000000000000004">
      <c r="F1443" s="1"/>
      <c r="G1443" s="1"/>
      <c r="H1443" s="2"/>
      <c r="X1443" s="1"/>
    </row>
    <row r="1444" spans="6:40" x14ac:dyDescent="0.55000000000000004">
      <c r="F1444" s="1"/>
      <c r="G1444" s="1"/>
      <c r="H1444" s="2"/>
      <c r="X1444" s="1"/>
    </row>
    <row r="1445" spans="6:40" x14ac:dyDescent="0.55000000000000004">
      <c r="F1445" s="1"/>
      <c r="G1445" s="1"/>
      <c r="H1445" s="2"/>
      <c r="X1445" s="1"/>
    </row>
    <row r="1446" spans="6:40" x14ac:dyDescent="0.55000000000000004">
      <c r="F1446" s="1"/>
      <c r="G1446" s="1"/>
      <c r="H1446" s="2"/>
      <c r="X1446" s="1"/>
    </row>
    <row r="1447" spans="6:40" x14ac:dyDescent="0.55000000000000004">
      <c r="F1447" s="1"/>
      <c r="G1447" s="1"/>
      <c r="H1447" s="2"/>
      <c r="X1447" s="1"/>
      <c r="AF1447" s="5"/>
      <c r="AN1447" s="5"/>
    </row>
    <row r="1448" spans="6:40" x14ac:dyDescent="0.55000000000000004">
      <c r="F1448" s="1"/>
      <c r="G1448" s="1"/>
      <c r="H1448" s="2"/>
      <c r="X1448" s="1"/>
    </row>
    <row r="1449" spans="6:40" x14ac:dyDescent="0.55000000000000004">
      <c r="F1449" s="1"/>
      <c r="G1449" s="1"/>
      <c r="H1449" s="2"/>
      <c r="X1449" s="1"/>
    </row>
    <row r="1450" spans="6:40" x14ac:dyDescent="0.55000000000000004">
      <c r="F1450" s="1"/>
      <c r="G1450" s="1"/>
      <c r="H1450" s="2"/>
      <c r="X1450" s="1"/>
    </row>
    <row r="1451" spans="6:40" x14ac:dyDescent="0.55000000000000004">
      <c r="F1451" s="1"/>
      <c r="G1451" s="1"/>
      <c r="H1451" s="2"/>
      <c r="X1451" s="1"/>
      <c r="AF1451" s="5"/>
      <c r="AN1451" s="5"/>
    </row>
    <row r="1452" spans="6:40" x14ac:dyDescent="0.55000000000000004">
      <c r="F1452" s="1"/>
      <c r="G1452" s="1"/>
      <c r="H1452" s="2"/>
      <c r="X1452" s="1"/>
    </row>
    <row r="1453" spans="6:40" x14ac:dyDescent="0.55000000000000004">
      <c r="F1453" s="1"/>
      <c r="G1453" s="1"/>
      <c r="H1453" s="2"/>
      <c r="X1453" s="1"/>
    </row>
    <row r="1454" spans="6:40" x14ac:dyDescent="0.55000000000000004">
      <c r="F1454" s="1"/>
      <c r="G1454" s="1"/>
      <c r="H1454" s="2"/>
      <c r="X1454" s="1"/>
    </row>
    <row r="1455" spans="6:40" x14ac:dyDescent="0.55000000000000004">
      <c r="F1455" s="1"/>
      <c r="G1455" s="1"/>
      <c r="H1455" s="2"/>
      <c r="X1455" s="1"/>
    </row>
    <row r="1456" spans="6:40" x14ac:dyDescent="0.55000000000000004">
      <c r="F1456" s="1"/>
      <c r="G1456" s="1"/>
      <c r="H1456" s="2"/>
      <c r="X1456" s="1"/>
    </row>
    <row r="1457" spans="6:40" x14ac:dyDescent="0.55000000000000004">
      <c r="F1457" s="1"/>
      <c r="G1457" s="1"/>
      <c r="H1457" s="2"/>
      <c r="X1457" s="1"/>
    </row>
    <row r="1458" spans="6:40" x14ac:dyDescent="0.55000000000000004">
      <c r="F1458" s="1"/>
      <c r="G1458" s="1"/>
      <c r="H1458" s="2"/>
      <c r="X1458" s="1"/>
    </row>
    <row r="1459" spans="6:40" x14ac:dyDescent="0.55000000000000004">
      <c r="F1459" s="1"/>
      <c r="G1459" s="1"/>
      <c r="H1459" s="2"/>
      <c r="X1459" s="1"/>
      <c r="AF1459" s="4"/>
      <c r="AN1459" s="4"/>
    </row>
    <row r="1460" spans="6:40" x14ac:dyDescent="0.55000000000000004">
      <c r="F1460" s="1"/>
      <c r="G1460" s="1"/>
      <c r="H1460" s="2"/>
      <c r="X1460" s="1"/>
    </row>
    <row r="1461" spans="6:40" x14ac:dyDescent="0.55000000000000004">
      <c r="F1461" s="1"/>
      <c r="G1461" s="1"/>
      <c r="H1461" s="2"/>
      <c r="X1461" s="1"/>
    </row>
    <row r="1462" spans="6:40" x14ac:dyDescent="0.55000000000000004">
      <c r="F1462" s="1"/>
      <c r="G1462" s="1"/>
      <c r="H1462" s="2"/>
      <c r="X1462" s="1"/>
    </row>
    <row r="1463" spans="6:40" x14ac:dyDescent="0.55000000000000004">
      <c r="F1463" s="1"/>
      <c r="G1463" s="1"/>
      <c r="H1463" s="2"/>
      <c r="X1463" s="1"/>
    </row>
    <row r="1464" spans="6:40" x14ac:dyDescent="0.55000000000000004">
      <c r="F1464" s="1"/>
      <c r="G1464" s="1"/>
      <c r="H1464" s="2"/>
      <c r="X1464" s="1"/>
      <c r="AF1464" s="4"/>
      <c r="AN1464" s="4"/>
    </row>
    <row r="1465" spans="6:40" x14ac:dyDescent="0.55000000000000004">
      <c r="F1465" s="1"/>
      <c r="G1465" s="1"/>
      <c r="H1465" s="2"/>
      <c r="X1465" s="1"/>
    </row>
    <row r="1466" spans="6:40" x14ac:dyDescent="0.55000000000000004">
      <c r="F1466" s="1"/>
      <c r="G1466" s="1"/>
      <c r="H1466" s="2"/>
      <c r="X1466" s="1"/>
      <c r="AF1466" s="5"/>
      <c r="AN1466" s="5"/>
    </row>
    <row r="1467" spans="6:40" x14ac:dyDescent="0.55000000000000004">
      <c r="F1467" s="1"/>
      <c r="G1467" s="1"/>
      <c r="H1467" s="2"/>
      <c r="X1467" s="1"/>
      <c r="AF1467" s="5"/>
      <c r="AN1467" s="5"/>
    </row>
    <row r="1468" spans="6:40" x14ac:dyDescent="0.55000000000000004">
      <c r="F1468" s="1"/>
      <c r="G1468" s="1"/>
      <c r="H1468" s="2"/>
      <c r="X1468" s="1"/>
    </row>
    <row r="1469" spans="6:40" x14ac:dyDescent="0.55000000000000004">
      <c r="F1469" s="1"/>
      <c r="G1469" s="1"/>
      <c r="H1469" s="2"/>
      <c r="X1469" s="1"/>
    </row>
    <row r="1470" spans="6:40" x14ac:dyDescent="0.55000000000000004">
      <c r="F1470" s="1"/>
      <c r="G1470" s="1"/>
      <c r="H1470" s="2"/>
      <c r="X1470" s="1"/>
    </row>
    <row r="1471" spans="6:40" x14ac:dyDescent="0.55000000000000004">
      <c r="F1471" s="1"/>
      <c r="G1471" s="1"/>
      <c r="H1471" s="2"/>
      <c r="X1471" s="1"/>
    </row>
    <row r="1472" spans="6:40" x14ac:dyDescent="0.55000000000000004">
      <c r="F1472" s="1"/>
      <c r="G1472" s="1"/>
      <c r="H1472" s="2"/>
      <c r="X1472" s="1"/>
    </row>
    <row r="1473" spans="6:40" x14ac:dyDescent="0.55000000000000004">
      <c r="F1473" s="1"/>
      <c r="G1473" s="1"/>
      <c r="H1473" s="2"/>
      <c r="X1473" s="1"/>
    </row>
    <row r="1474" spans="6:40" x14ac:dyDescent="0.55000000000000004">
      <c r="F1474" s="1"/>
      <c r="G1474" s="1"/>
      <c r="H1474" s="2"/>
      <c r="X1474" s="1"/>
    </row>
    <row r="1475" spans="6:40" x14ac:dyDescent="0.55000000000000004">
      <c r="F1475" s="1"/>
      <c r="G1475" s="1"/>
      <c r="H1475" s="2"/>
      <c r="X1475" s="1"/>
    </row>
    <row r="1476" spans="6:40" x14ac:dyDescent="0.55000000000000004">
      <c r="F1476" s="1"/>
      <c r="G1476" s="1"/>
      <c r="H1476" s="2"/>
      <c r="X1476" s="1"/>
    </row>
    <row r="1477" spans="6:40" x14ac:dyDescent="0.55000000000000004">
      <c r="F1477" s="1"/>
      <c r="G1477" s="1"/>
      <c r="H1477" s="2"/>
      <c r="X1477" s="1"/>
    </row>
    <row r="1478" spans="6:40" x14ac:dyDescent="0.55000000000000004">
      <c r="F1478" s="1"/>
      <c r="G1478" s="1"/>
      <c r="H1478" s="2"/>
      <c r="X1478" s="1"/>
    </row>
    <row r="1479" spans="6:40" x14ac:dyDescent="0.55000000000000004">
      <c r="F1479" s="1"/>
      <c r="G1479" s="1"/>
      <c r="H1479" s="2"/>
      <c r="X1479" s="1"/>
    </row>
    <row r="1480" spans="6:40" x14ac:dyDescent="0.55000000000000004">
      <c r="F1480" s="1"/>
      <c r="G1480" s="1"/>
      <c r="H1480" s="2"/>
      <c r="X1480" s="1"/>
    </row>
    <row r="1481" spans="6:40" x14ac:dyDescent="0.55000000000000004">
      <c r="F1481" s="1"/>
      <c r="G1481" s="1"/>
      <c r="H1481" s="2"/>
      <c r="X1481" s="1"/>
    </row>
    <row r="1482" spans="6:40" x14ac:dyDescent="0.55000000000000004">
      <c r="F1482" s="1"/>
      <c r="H1482" s="2"/>
    </row>
    <row r="1483" spans="6:40" x14ac:dyDescent="0.55000000000000004">
      <c r="F1483" s="1"/>
      <c r="G1483" s="1"/>
      <c r="H1483" s="2"/>
      <c r="X1483" s="1"/>
    </row>
    <row r="1484" spans="6:40" x14ac:dyDescent="0.55000000000000004">
      <c r="F1484" s="1"/>
      <c r="G1484" s="1"/>
      <c r="H1484" s="2"/>
      <c r="X1484" s="1"/>
    </row>
    <row r="1485" spans="6:40" x14ac:dyDescent="0.55000000000000004">
      <c r="F1485" s="1"/>
      <c r="G1485" s="1"/>
      <c r="H1485" s="2"/>
      <c r="X1485" s="1"/>
      <c r="AF1485" s="4"/>
      <c r="AN1485" s="4"/>
    </row>
    <row r="1486" spans="6:40" x14ac:dyDescent="0.55000000000000004">
      <c r="F1486" s="1"/>
      <c r="G1486" s="1"/>
      <c r="H1486" s="2"/>
      <c r="X1486" s="1"/>
    </row>
    <row r="1487" spans="6:40" x14ac:dyDescent="0.55000000000000004">
      <c r="F1487" s="1"/>
      <c r="G1487" s="1"/>
      <c r="H1487" s="2"/>
      <c r="X1487" s="1"/>
    </row>
    <row r="1488" spans="6:40" x14ac:dyDescent="0.55000000000000004">
      <c r="F1488" s="1"/>
      <c r="G1488" s="1"/>
      <c r="H1488" s="2"/>
      <c r="X1488" s="1"/>
    </row>
    <row r="1489" spans="6:40" x14ac:dyDescent="0.55000000000000004">
      <c r="F1489" s="1"/>
      <c r="H1489" s="2"/>
    </row>
    <row r="1490" spans="6:40" x14ac:dyDescent="0.55000000000000004">
      <c r="F1490" s="1"/>
      <c r="H1490" s="2"/>
    </row>
    <row r="1491" spans="6:40" x14ac:dyDescent="0.55000000000000004">
      <c r="F1491" s="1"/>
      <c r="H1491" s="2"/>
    </row>
    <row r="1492" spans="6:40" x14ac:dyDescent="0.55000000000000004">
      <c r="F1492" s="1"/>
      <c r="G1492" s="1"/>
      <c r="H1492" s="2"/>
      <c r="X1492" s="1"/>
    </row>
    <row r="1493" spans="6:40" x14ac:dyDescent="0.55000000000000004">
      <c r="F1493" s="1"/>
      <c r="G1493" s="1"/>
      <c r="H1493" s="2"/>
      <c r="X1493" s="1"/>
    </row>
    <row r="1494" spans="6:40" x14ac:dyDescent="0.55000000000000004">
      <c r="F1494" s="1"/>
      <c r="G1494" s="1"/>
      <c r="H1494" s="2"/>
      <c r="X1494" s="1"/>
      <c r="AF1494" s="5"/>
      <c r="AN1494" s="5"/>
    </row>
    <row r="1495" spans="6:40" x14ac:dyDescent="0.55000000000000004">
      <c r="F1495" s="1"/>
      <c r="G1495" s="1"/>
      <c r="H1495" s="2"/>
      <c r="X1495" s="1"/>
    </row>
    <row r="1496" spans="6:40" x14ac:dyDescent="0.55000000000000004">
      <c r="F1496" s="1"/>
      <c r="G1496" s="1"/>
      <c r="H1496" s="2"/>
      <c r="X1496" s="1"/>
    </row>
    <row r="1497" spans="6:40" x14ac:dyDescent="0.55000000000000004">
      <c r="F1497" s="1"/>
      <c r="G1497" s="1"/>
      <c r="H1497" s="2"/>
      <c r="X1497" s="1"/>
    </row>
    <row r="1498" spans="6:40" x14ac:dyDescent="0.55000000000000004">
      <c r="F1498" s="1"/>
      <c r="G1498" s="1"/>
      <c r="H1498" s="2"/>
      <c r="X1498" s="1"/>
    </row>
    <row r="1499" spans="6:40" x14ac:dyDescent="0.55000000000000004">
      <c r="F1499" s="1"/>
      <c r="G1499" s="1"/>
      <c r="H1499" s="2"/>
      <c r="X1499" s="1"/>
    </row>
    <row r="1500" spans="6:40" x14ac:dyDescent="0.55000000000000004">
      <c r="F1500" s="1"/>
      <c r="G1500" s="1"/>
      <c r="H1500" s="2"/>
      <c r="X1500" s="1"/>
    </row>
    <row r="1501" spans="6:40" x14ac:dyDescent="0.55000000000000004">
      <c r="F1501" s="1"/>
      <c r="G1501" s="1"/>
      <c r="H1501" s="2"/>
      <c r="X1501" s="1"/>
    </row>
    <row r="1502" spans="6:40" x14ac:dyDescent="0.55000000000000004">
      <c r="F1502" s="1"/>
      <c r="G1502" s="1"/>
      <c r="H1502" s="2"/>
      <c r="X1502" s="1"/>
    </row>
    <row r="1503" spans="6:40" x14ac:dyDescent="0.55000000000000004">
      <c r="F1503" s="1"/>
      <c r="G1503" s="1"/>
      <c r="H1503" s="2"/>
      <c r="X1503" s="1"/>
    </row>
    <row r="1504" spans="6:40" x14ac:dyDescent="0.55000000000000004">
      <c r="F1504" s="1"/>
      <c r="G1504" s="1"/>
      <c r="H1504" s="2"/>
      <c r="X1504" s="1"/>
    </row>
    <row r="1505" spans="6:40" x14ac:dyDescent="0.55000000000000004">
      <c r="F1505" s="1"/>
      <c r="G1505" s="1"/>
      <c r="H1505" s="2"/>
      <c r="X1505" s="1"/>
    </row>
    <row r="1506" spans="6:40" x14ac:dyDescent="0.55000000000000004">
      <c r="F1506" s="1"/>
      <c r="G1506" s="1"/>
      <c r="H1506" s="2"/>
      <c r="X1506" s="1"/>
    </row>
    <row r="1507" spans="6:40" x14ac:dyDescent="0.55000000000000004">
      <c r="F1507" s="1"/>
      <c r="G1507" s="1"/>
      <c r="H1507" s="2"/>
      <c r="X1507" s="1"/>
      <c r="AF1507" s="4"/>
      <c r="AN1507" s="4"/>
    </row>
    <row r="1508" spans="6:40" x14ac:dyDescent="0.55000000000000004">
      <c r="F1508" s="1"/>
      <c r="G1508" s="1"/>
      <c r="H1508" s="2"/>
      <c r="X1508" s="1"/>
    </row>
    <row r="1509" spans="6:40" x14ac:dyDescent="0.55000000000000004">
      <c r="F1509" s="1"/>
      <c r="G1509" s="1"/>
      <c r="H1509" s="2"/>
      <c r="X1509" s="1"/>
    </row>
    <row r="1510" spans="6:40" x14ac:dyDescent="0.55000000000000004">
      <c r="F1510" s="1"/>
      <c r="G1510" s="1"/>
      <c r="H1510" s="2"/>
      <c r="X1510" s="1"/>
    </row>
    <row r="1511" spans="6:40" x14ac:dyDescent="0.55000000000000004">
      <c r="F1511" s="1"/>
      <c r="G1511" s="1"/>
      <c r="H1511" s="2"/>
      <c r="X1511" s="1"/>
    </row>
    <row r="1512" spans="6:40" x14ac:dyDescent="0.55000000000000004">
      <c r="F1512" s="1"/>
      <c r="G1512" s="1"/>
      <c r="H1512" s="2"/>
      <c r="X1512" s="1"/>
    </row>
    <row r="1513" spans="6:40" x14ac:dyDescent="0.55000000000000004">
      <c r="F1513" s="1"/>
      <c r="G1513" s="1"/>
      <c r="H1513" s="2"/>
      <c r="X1513" s="1"/>
    </row>
    <row r="1514" spans="6:40" x14ac:dyDescent="0.55000000000000004">
      <c r="F1514" s="1"/>
      <c r="G1514" s="1"/>
      <c r="H1514" s="2"/>
      <c r="X1514" s="1"/>
    </row>
    <row r="1515" spans="6:40" x14ac:dyDescent="0.55000000000000004">
      <c r="F1515" s="1"/>
      <c r="G1515" s="1"/>
      <c r="H1515" s="2"/>
      <c r="X1515" s="1"/>
    </row>
    <row r="1516" spans="6:40" x14ac:dyDescent="0.55000000000000004">
      <c r="F1516" s="1"/>
      <c r="G1516" s="1"/>
      <c r="H1516" s="2"/>
      <c r="X1516" s="1"/>
    </row>
    <row r="1517" spans="6:40" x14ac:dyDescent="0.55000000000000004">
      <c r="F1517" s="1"/>
      <c r="G1517" s="1"/>
      <c r="H1517" s="2"/>
      <c r="X1517" s="1"/>
    </row>
    <row r="1518" spans="6:40" x14ac:dyDescent="0.55000000000000004">
      <c r="F1518" s="1"/>
      <c r="G1518" s="1"/>
      <c r="H1518" s="2"/>
      <c r="X1518" s="1"/>
    </row>
    <row r="1519" spans="6:40" x14ac:dyDescent="0.55000000000000004">
      <c r="F1519" s="1"/>
      <c r="G1519" s="1"/>
      <c r="H1519" s="2"/>
      <c r="X1519" s="1"/>
    </row>
    <row r="1520" spans="6:40" x14ac:dyDescent="0.55000000000000004">
      <c r="F1520" s="1"/>
      <c r="G1520" s="1"/>
      <c r="H1520" s="2"/>
      <c r="X1520" s="1"/>
    </row>
    <row r="1521" spans="6:40" x14ac:dyDescent="0.55000000000000004">
      <c r="F1521" s="1"/>
      <c r="G1521" s="1"/>
      <c r="H1521" s="2"/>
      <c r="X1521" s="1"/>
      <c r="AF1521" s="4"/>
      <c r="AN1521" s="4"/>
    </row>
    <row r="1522" spans="6:40" x14ac:dyDescent="0.55000000000000004">
      <c r="F1522" s="1"/>
      <c r="G1522" s="1"/>
      <c r="H1522" s="2"/>
      <c r="X1522" s="1"/>
    </row>
    <row r="1523" spans="6:40" x14ac:dyDescent="0.55000000000000004">
      <c r="F1523" s="1"/>
      <c r="G1523" s="1"/>
      <c r="H1523" s="2"/>
      <c r="X1523" s="1"/>
    </row>
    <row r="1524" spans="6:40" x14ac:dyDescent="0.55000000000000004">
      <c r="F1524" s="1"/>
      <c r="G1524" s="1"/>
      <c r="H1524" s="2"/>
      <c r="X1524" s="1"/>
    </row>
    <row r="1525" spans="6:40" x14ac:dyDescent="0.55000000000000004">
      <c r="F1525" s="1"/>
      <c r="G1525" s="1"/>
      <c r="H1525" s="2"/>
      <c r="X1525" s="1"/>
      <c r="AF1525" s="4"/>
      <c r="AN1525" s="4"/>
    </row>
    <row r="1526" spans="6:40" x14ac:dyDescent="0.55000000000000004">
      <c r="F1526" s="1"/>
      <c r="G1526" s="1"/>
      <c r="H1526" s="2"/>
      <c r="X1526" s="1"/>
    </row>
    <row r="1527" spans="6:40" x14ac:dyDescent="0.55000000000000004">
      <c r="F1527" s="1"/>
      <c r="G1527" s="1"/>
      <c r="H1527" s="2"/>
      <c r="X1527" s="1"/>
    </row>
    <row r="1528" spans="6:40" x14ac:dyDescent="0.55000000000000004">
      <c r="F1528" s="1"/>
      <c r="G1528" s="1"/>
      <c r="H1528" s="2"/>
      <c r="X1528" s="1"/>
      <c r="AF1528" s="5"/>
      <c r="AN1528" s="5"/>
    </row>
    <row r="1529" spans="6:40" x14ac:dyDescent="0.55000000000000004">
      <c r="F1529" s="1"/>
      <c r="G1529" s="1"/>
      <c r="H1529" s="2"/>
      <c r="X1529" s="1"/>
    </row>
    <row r="1530" spans="6:40" x14ac:dyDescent="0.55000000000000004">
      <c r="F1530" s="1"/>
      <c r="G1530" s="1"/>
      <c r="H1530" s="2"/>
      <c r="X1530" s="1"/>
    </row>
    <row r="1531" spans="6:40" x14ac:dyDescent="0.55000000000000004">
      <c r="F1531" s="1"/>
      <c r="G1531" s="1"/>
      <c r="H1531" s="2"/>
      <c r="X1531" s="1"/>
    </row>
    <row r="1532" spans="6:40" x14ac:dyDescent="0.55000000000000004">
      <c r="F1532" s="1"/>
      <c r="G1532" s="1"/>
      <c r="H1532" s="2"/>
      <c r="X1532" s="1"/>
    </row>
    <row r="1533" spans="6:40" x14ac:dyDescent="0.55000000000000004">
      <c r="F1533" s="1"/>
      <c r="G1533" s="1"/>
      <c r="H1533" s="2"/>
      <c r="X1533" s="1"/>
    </row>
    <row r="1534" spans="6:40" x14ac:dyDescent="0.55000000000000004">
      <c r="F1534" s="1"/>
      <c r="G1534" s="1"/>
      <c r="H1534" s="2"/>
      <c r="X1534" s="1"/>
      <c r="AF1534" s="5"/>
      <c r="AN1534" s="5"/>
    </row>
    <row r="1535" spans="6:40" x14ac:dyDescent="0.55000000000000004">
      <c r="F1535" s="1"/>
      <c r="G1535" s="1"/>
      <c r="H1535" s="2"/>
      <c r="X1535" s="1"/>
    </row>
    <row r="1536" spans="6:40" x14ac:dyDescent="0.55000000000000004">
      <c r="F1536" s="1"/>
      <c r="G1536" s="1"/>
      <c r="H1536" s="2"/>
      <c r="X1536" s="1"/>
    </row>
    <row r="1537" spans="6:40" x14ac:dyDescent="0.55000000000000004">
      <c r="F1537" s="1"/>
      <c r="G1537" s="1"/>
      <c r="H1537" s="2"/>
      <c r="X1537" s="1"/>
    </row>
    <row r="1538" spans="6:40" x14ac:dyDescent="0.55000000000000004">
      <c r="F1538" s="1"/>
      <c r="G1538" s="1"/>
      <c r="H1538" s="2"/>
      <c r="X1538" s="1"/>
    </row>
    <row r="1539" spans="6:40" x14ac:dyDescent="0.55000000000000004">
      <c r="F1539" s="1"/>
      <c r="G1539" s="1"/>
      <c r="H1539" s="2"/>
      <c r="X1539" s="1"/>
    </row>
    <row r="1540" spans="6:40" x14ac:dyDescent="0.55000000000000004">
      <c r="F1540" s="1"/>
      <c r="G1540" s="1"/>
      <c r="H1540" s="2"/>
      <c r="X1540" s="1"/>
    </row>
    <row r="1541" spans="6:40" x14ac:dyDescent="0.55000000000000004">
      <c r="F1541" s="1"/>
      <c r="G1541" s="1"/>
      <c r="H1541" s="2"/>
      <c r="X1541" s="1"/>
    </row>
    <row r="1542" spans="6:40" x14ac:dyDescent="0.55000000000000004">
      <c r="F1542" s="1"/>
      <c r="G1542" s="1"/>
      <c r="H1542" s="2"/>
      <c r="X1542" s="1"/>
    </row>
    <row r="1543" spans="6:40" x14ac:dyDescent="0.55000000000000004">
      <c r="F1543" s="1"/>
      <c r="G1543" s="1"/>
      <c r="H1543" s="2"/>
      <c r="X1543" s="1"/>
      <c r="AF1543" s="4"/>
      <c r="AN1543" s="4"/>
    </row>
    <row r="1544" spans="6:40" x14ac:dyDescent="0.55000000000000004">
      <c r="F1544" s="1"/>
      <c r="G1544" s="1"/>
      <c r="H1544" s="2"/>
      <c r="X1544" s="1"/>
    </row>
    <row r="1545" spans="6:40" x14ac:dyDescent="0.55000000000000004">
      <c r="F1545" s="1"/>
      <c r="G1545" s="1"/>
      <c r="H1545" s="2"/>
      <c r="X1545" s="1"/>
    </row>
    <row r="1546" spans="6:40" x14ac:dyDescent="0.55000000000000004">
      <c r="F1546" s="1"/>
      <c r="G1546" s="1"/>
      <c r="H1546" s="2"/>
      <c r="X1546" s="1"/>
    </row>
    <row r="1547" spans="6:40" x14ac:dyDescent="0.55000000000000004">
      <c r="F1547" s="1"/>
      <c r="G1547" s="1"/>
      <c r="H1547" s="2"/>
      <c r="X1547" s="1"/>
    </row>
    <row r="1548" spans="6:40" x14ac:dyDescent="0.55000000000000004">
      <c r="F1548" s="1"/>
      <c r="G1548" s="1"/>
      <c r="H1548" s="2"/>
      <c r="X1548" s="1"/>
    </row>
    <row r="1549" spans="6:40" x14ac:dyDescent="0.55000000000000004">
      <c r="F1549" s="1"/>
      <c r="G1549" s="1"/>
      <c r="H1549" s="2"/>
      <c r="X1549" s="1"/>
    </row>
    <row r="1550" spans="6:40" x14ac:dyDescent="0.55000000000000004">
      <c r="F1550" s="1"/>
      <c r="G1550" s="1"/>
      <c r="H1550" s="2"/>
      <c r="X1550" s="1"/>
    </row>
    <row r="1551" spans="6:40" x14ac:dyDescent="0.55000000000000004">
      <c r="F1551" s="1"/>
      <c r="G1551" s="1"/>
      <c r="H1551" s="2"/>
      <c r="X1551" s="1"/>
      <c r="AF1551" s="4"/>
      <c r="AN1551" s="4"/>
    </row>
    <row r="1552" spans="6:40" x14ac:dyDescent="0.55000000000000004">
      <c r="F1552" s="1"/>
      <c r="G1552" s="1"/>
      <c r="H1552" s="2"/>
      <c r="X1552" s="1"/>
    </row>
    <row r="1553" spans="6:42" x14ac:dyDescent="0.55000000000000004">
      <c r="F1553" s="1"/>
      <c r="G1553" s="1"/>
      <c r="H1553" s="2"/>
      <c r="X1553" s="1"/>
    </row>
    <row r="1554" spans="6:42" x14ac:dyDescent="0.55000000000000004">
      <c r="F1554" s="1"/>
      <c r="G1554" s="1"/>
      <c r="H1554" s="2"/>
      <c r="X1554" s="1"/>
    </row>
    <row r="1555" spans="6:42" x14ac:dyDescent="0.55000000000000004">
      <c r="F1555" s="1"/>
      <c r="G1555" s="1"/>
      <c r="H1555" s="2"/>
      <c r="X1555" s="1"/>
    </row>
    <row r="1556" spans="6:42" x14ac:dyDescent="0.55000000000000004">
      <c r="F1556" s="1"/>
      <c r="G1556" s="1"/>
      <c r="H1556" s="2"/>
      <c r="X1556" s="1"/>
    </row>
    <row r="1557" spans="6:42" x14ac:dyDescent="0.55000000000000004">
      <c r="F1557" s="1"/>
      <c r="G1557" s="1"/>
      <c r="H1557" s="2"/>
      <c r="X1557" s="1"/>
    </row>
    <row r="1558" spans="6:42" x14ac:dyDescent="0.55000000000000004">
      <c r="F1558" s="1"/>
      <c r="G1558" s="1"/>
      <c r="H1558" s="2"/>
      <c r="X1558" s="1"/>
    </row>
    <row r="1559" spans="6:42" x14ac:dyDescent="0.55000000000000004">
      <c r="F1559" s="1"/>
      <c r="G1559" s="1"/>
      <c r="H1559" s="2"/>
      <c r="X1559" s="1"/>
    </row>
    <row r="1560" spans="6:42" x14ac:dyDescent="0.55000000000000004">
      <c r="F1560" s="1"/>
      <c r="G1560" s="1"/>
      <c r="H1560" s="2"/>
      <c r="X1560" s="1"/>
    </row>
    <row r="1561" spans="6:42" x14ac:dyDescent="0.55000000000000004">
      <c r="F1561" s="1"/>
      <c r="G1561" s="1"/>
      <c r="H1561" s="2"/>
      <c r="X1561" s="1"/>
    </row>
    <row r="1562" spans="6:42" x14ac:dyDescent="0.55000000000000004">
      <c r="F1562" s="1"/>
      <c r="G1562" s="1"/>
      <c r="H1562" s="2"/>
      <c r="X1562" s="1"/>
    </row>
    <row r="1563" spans="6:42" x14ac:dyDescent="0.55000000000000004">
      <c r="F1563" s="1"/>
      <c r="G1563" s="1"/>
      <c r="H1563" s="2"/>
      <c r="X1563" s="1"/>
    </row>
    <row r="1564" spans="6:42" x14ac:dyDescent="0.55000000000000004">
      <c r="F1564" s="1"/>
      <c r="G1564" s="1"/>
      <c r="H1564" s="2"/>
      <c r="X1564" s="1"/>
      <c r="AF1564" s="4"/>
      <c r="AN1564" s="4"/>
    </row>
    <row r="1565" spans="6:42" x14ac:dyDescent="0.55000000000000004">
      <c r="F1565" s="1"/>
      <c r="G1565" s="1"/>
      <c r="H1565" s="2"/>
      <c r="X1565" s="1"/>
    </row>
    <row r="1566" spans="6:42" x14ac:dyDescent="0.55000000000000004">
      <c r="F1566" s="1"/>
      <c r="G1566" s="1"/>
      <c r="H1566" s="2"/>
      <c r="X1566" s="1"/>
    </row>
    <row r="1567" spans="6:42" x14ac:dyDescent="0.55000000000000004">
      <c r="F1567" s="1"/>
      <c r="G1567" s="1"/>
      <c r="H1567" s="2"/>
      <c r="X1567" s="1"/>
    </row>
    <row r="1568" spans="6:42" x14ac:dyDescent="0.55000000000000004">
      <c r="F1568" s="1"/>
      <c r="H1568" s="2"/>
      <c r="AP1568" s="2"/>
    </row>
    <row r="1569" spans="6:40" x14ac:dyDescent="0.55000000000000004">
      <c r="F1569" s="1"/>
      <c r="G1569" s="1"/>
      <c r="H1569" s="2"/>
      <c r="X1569" s="1"/>
    </row>
    <row r="1570" spans="6:40" x14ac:dyDescent="0.55000000000000004">
      <c r="F1570" s="1"/>
      <c r="G1570" s="1"/>
      <c r="H1570" s="2"/>
      <c r="X1570" s="1"/>
    </row>
    <row r="1571" spans="6:40" x14ac:dyDescent="0.55000000000000004">
      <c r="F1571" s="1"/>
      <c r="H1571" s="2"/>
    </row>
    <row r="1572" spans="6:40" x14ac:dyDescent="0.55000000000000004">
      <c r="F1572" s="1"/>
      <c r="G1572" s="1"/>
      <c r="H1572" s="2"/>
      <c r="X1572" s="1"/>
    </row>
    <row r="1573" spans="6:40" x14ac:dyDescent="0.55000000000000004">
      <c r="F1573" s="1"/>
      <c r="G1573" s="1"/>
      <c r="H1573" s="2"/>
      <c r="X1573" s="1"/>
    </row>
    <row r="1574" spans="6:40" x14ac:dyDescent="0.55000000000000004">
      <c r="F1574" s="1"/>
      <c r="G1574" s="1"/>
      <c r="H1574" s="2"/>
      <c r="X1574" s="1"/>
    </row>
    <row r="1575" spans="6:40" x14ac:dyDescent="0.55000000000000004">
      <c r="F1575" s="1"/>
      <c r="G1575" s="1"/>
      <c r="H1575" s="2"/>
      <c r="X1575" s="1"/>
    </row>
    <row r="1576" spans="6:40" x14ac:dyDescent="0.55000000000000004">
      <c r="F1576" s="1"/>
      <c r="G1576" s="1"/>
      <c r="H1576" s="2"/>
      <c r="X1576" s="1"/>
    </row>
    <row r="1577" spans="6:40" x14ac:dyDescent="0.55000000000000004">
      <c r="F1577" s="1"/>
      <c r="G1577" s="1"/>
      <c r="H1577" s="2"/>
      <c r="X1577" s="1"/>
      <c r="AF1577" s="5"/>
      <c r="AN1577" s="5"/>
    </row>
    <row r="1578" spans="6:40" x14ac:dyDescent="0.55000000000000004">
      <c r="F1578" s="1"/>
      <c r="G1578" s="1"/>
      <c r="H1578" s="2"/>
      <c r="X1578" s="1"/>
    </row>
    <row r="1579" spans="6:40" x14ac:dyDescent="0.55000000000000004">
      <c r="F1579" s="1"/>
      <c r="G1579" s="1"/>
      <c r="H1579" s="2"/>
      <c r="X1579" s="1"/>
    </row>
    <row r="1580" spans="6:40" x14ac:dyDescent="0.55000000000000004">
      <c r="F1580" s="1"/>
      <c r="G1580" s="1"/>
      <c r="H1580" s="2"/>
      <c r="X1580" s="1"/>
    </row>
    <row r="1581" spans="6:40" x14ac:dyDescent="0.55000000000000004">
      <c r="F1581" s="1"/>
      <c r="G1581" s="1"/>
      <c r="H1581" s="2"/>
      <c r="X1581" s="1"/>
    </row>
    <row r="1582" spans="6:40" x14ac:dyDescent="0.55000000000000004">
      <c r="F1582" s="1"/>
      <c r="G1582" s="1"/>
      <c r="H1582" s="2"/>
      <c r="X1582" s="1"/>
    </row>
    <row r="1583" spans="6:40" x14ac:dyDescent="0.55000000000000004">
      <c r="F1583" s="1"/>
      <c r="G1583" s="1"/>
      <c r="H1583" s="2"/>
      <c r="X1583" s="1"/>
    </row>
    <row r="1584" spans="6:40" x14ac:dyDescent="0.55000000000000004">
      <c r="F1584" s="1"/>
      <c r="G1584" s="1"/>
      <c r="H1584" s="2"/>
      <c r="X1584" s="1"/>
    </row>
    <row r="1585" spans="6:42" x14ac:dyDescent="0.55000000000000004">
      <c r="F1585" s="1"/>
      <c r="G1585" s="1"/>
      <c r="H1585" s="2"/>
      <c r="X1585" s="1"/>
    </row>
    <row r="1586" spans="6:42" x14ac:dyDescent="0.55000000000000004">
      <c r="F1586" s="1"/>
      <c r="G1586" s="1"/>
      <c r="H1586" s="2"/>
      <c r="X1586" s="1"/>
    </row>
    <row r="1587" spans="6:42" x14ac:dyDescent="0.55000000000000004">
      <c r="F1587" s="1"/>
      <c r="G1587" s="1"/>
      <c r="H1587" s="2"/>
      <c r="X1587" s="1"/>
    </row>
    <row r="1588" spans="6:42" x14ac:dyDescent="0.55000000000000004">
      <c r="F1588" s="1"/>
      <c r="G1588" s="1"/>
      <c r="H1588" s="2"/>
      <c r="X1588" s="1"/>
      <c r="AF1588" s="4"/>
      <c r="AN1588" s="4"/>
    </row>
    <row r="1589" spans="6:42" x14ac:dyDescent="0.55000000000000004">
      <c r="F1589" s="1"/>
      <c r="G1589" s="1"/>
      <c r="H1589" s="2"/>
      <c r="X1589" s="1"/>
    </row>
    <row r="1590" spans="6:42" x14ac:dyDescent="0.55000000000000004">
      <c r="F1590" s="1"/>
      <c r="G1590" s="1"/>
      <c r="H1590" s="2"/>
      <c r="X1590" s="1"/>
    </row>
    <row r="1591" spans="6:42" x14ac:dyDescent="0.55000000000000004">
      <c r="F1591" s="1"/>
      <c r="G1591" s="1"/>
      <c r="H1591" s="2"/>
      <c r="X1591" s="1"/>
    </row>
    <row r="1592" spans="6:42" x14ac:dyDescent="0.55000000000000004">
      <c r="F1592" s="1"/>
      <c r="G1592" s="1"/>
      <c r="H1592" s="2"/>
      <c r="X1592" s="1"/>
    </row>
    <row r="1593" spans="6:42" x14ac:dyDescent="0.55000000000000004">
      <c r="F1593" s="1"/>
      <c r="G1593" s="1"/>
      <c r="H1593" s="2"/>
      <c r="X1593" s="1"/>
    </row>
    <row r="1594" spans="6:42" x14ac:dyDescent="0.55000000000000004">
      <c r="F1594" s="1"/>
      <c r="G1594" s="1"/>
      <c r="H1594" s="2"/>
      <c r="X1594" s="1"/>
    </row>
    <row r="1595" spans="6:42" x14ac:dyDescent="0.55000000000000004">
      <c r="F1595" s="1"/>
      <c r="G1595" s="1"/>
      <c r="H1595" s="2"/>
      <c r="X1595" s="1"/>
      <c r="AP1595" s="2"/>
    </row>
    <row r="1596" spans="6:42" x14ac:dyDescent="0.55000000000000004">
      <c r="F1596" s="1"/>
      <c r="G1596" s="1"/>
      <c r="H1596" s="2"/>
      <c r="X1596" s="1"/>
    </row>
    <row r="1597" spans="6:42" x14ac:dyDescent="0.55000000000000004">
      <c r="F1597" s="1"/>
      <c r="G1597" s="1"/>
      <c r="H1597" s="2"/>
      <c r="X1597" s="1"/>
    </row>
    <row r="1598" spans="6:42" x14ac:dyDescent="0.55000000000000004">
      <c r="F1598" s="1"/>
      <c r="G1598" s="1"/>
      <c r="H1598" s="2"/>
      <c r="X1598" s="1"/>
    </row>
    <row r="1599" spans="6:42" x14ac:dyDescent="0.55000000000000004">
      <c r="F1599" s="1"/>
      <c r="G1599" s="1"/>
      <c r="H1599" s="2"/>
      <c r="X1599" s="1"/>
    </row>
    <row r="1600" spans="6:42" x14ac:dyDescent="0.55000000000000004">
      <c r="F1600" s="1"/>
      <c r="G1600" s="1"/>
      <c r="H1600" s="2"/>
      <c r="X1600" s="1"/>
    </row>
    <row r="1601" spans="6:40" x14ac:dyDescent="0.55000000000000004">
      <c r="F1601" s="1"/>
      <c r="G1601" s="1"/>
      <c r="H1601" s="2"/>
      <c r="X1601" s="1"/>
    </row>
    <row r="1602" spans="6:40" x14ac:dyDescent="0.55000000000000004">
      <c r="F1602" s="1"/>
      <c r="G1602" s="1"/>
      <c r="H1602" s="2"/>
      <c r="X1602" s="1"/>
    </row>
    <row r="1603" spans="6:40" x14ac:dyDescent="0.55000000000000004">
      <c r="F1603" s="1"/>
      <c r="G1603" s="1"/>
      <c r="H1603" s="2"/>
      <c r="X1603" s="1"/>
    </row>
    <row r="1604" spans="6:40" x14ac:dyDescent="0.55000000000000004">
      <c r="F1604" s="1"/>
      <c r="G1604" s="1"/>
      <c r="H1604" s="2"/>
      <c r="X1604" s="1"/>
      <c r="AF1604" s="4"/>
      <c r="AN1604" s="4"/>
    </row>
    <row r="1605" spans="6:40" x14ac:dyDescent="0.55000000000000004">
      <c r="F1605" s="1"/>
      <c r="G1605" s="1"/>
      <c r="H1605" s="2"/>
      <c r="X1605" s="1"/>
    </row>
    <row r="1606" spans="6:40" x14ac:dyDescent="0.55000000000000004">
      <c r="F1606" s="1"/>
      <c r="G1606" s="1"/>
      <c r="H1606" s="2"/>
      <c r="X1606" s="1"/>
    </row>
    <row r="1607" spans="6:40" x14ac:dyDescent="0.55000000000000004">
      <c r="F1607" s="1"/>
      <c r="G1607" s="1"/>
      <c r="H1607" s="2"/>
      <c r="X1607" s="1"/>
    </row>
    <row r="1608" spans="6:40" x14ac:dyDescent="0.55000000000000004">
      <c r="F1608" s="1"/>
      <c r="G1608" s="1"/>
      <c r="H1608" s="2"/>
      <c r="X1608" s="1"/>
    </row>
    <row r="1609" spans="6:40" x14ac:dyDescent="0.55000000000000004">
      <c r="F1609" s="1"/>
      <c r="G1609" s="1"/>
      <c r="H1609" s="2"/>
      <c r="X1609" s="1"/>
    </row>
    <row r="1610" spans="6:40" x14ac:dyDescent="0.55000000000000004">
      <c r="F1610" s="1"/>
      <c r="G1610" s="1"/>
      <c r="H1610" s="2"/>
      <c r="X1610" s="1"/>
    </row>
    <row r="1611" spans="6:40" x14ac:dyDescent="0.55000000000000004">
      <c r="F1611" s="1"/>
      <c r="G1611" s="1"/>
      <c r="H1611" s="2"/>
      <c r="X1611" s="1"/>
    </row>
    <row r="1612" spans="6:40" x14ac:dyDescent="0.55000000000000004">
      <c r="F1612" s="1"/>
      <c r="G1612" s="1"/>
      <c r="H1612" s="2"/>
      <c r="X1612" s="1"/>
      <c r="AF1612" s="4"/>
      <c r="AN1612" s="4"/>
    </row>
    <row r="1613" spans="6:40" x14ac:dyDescent="0.55000000000000004">
      <c r="F1613" s="1"/>
      <c r="G1613" s="1"/>
      <c r="H1613" s="2"/>
      <c r="X1613" s="1"/>
    </row>
    <row r="1614" spans="6:40" x14ac:dyDescent="0.55000000000000004">
      <c r="F1614" s="1"/>
      <c r="G1614" s="1"/>
      <c r="H1614" s="2"/>
      <c r="X1614" s="1"/>
    </row>
    <row r="1615" spans="6:40" x14ac:dyDescent="0.55000000000000004">
      <c r="F1615" s="1"/>
      <c r="G1615" s="1"/>
      <c r="H1615" s="2"/>
      <c r="X1615" s="1"/>
    </row>
    <row r="1616" spans="6:40" x14ac:dyDescent="0.55000000000000004">
      <c r="F1616" s="1"/>
      <c r="G1616" s="1"/>
      <c r="H1616" s="2"/>
      <c r="X1616" s="1"/>
    </row>
    <row r="1617" spans="6:40" x14ac:dyDescent="0.55000000000000004">
      <c r="F1617" s="1"/>
      <c r="G1617" s="1"/>
      <c r="H1617" s="2"/>
      <c r="X1617" s="1"/>
    </row>
    <row r="1618" spans="6:40" x14ac:dyDescent="0.55000000000000004">
      <c r="F1618" s="1"/>
      <c r="G1618" s="1"/>
      <c r="H1618" s="2"/>
      <c r="X1618" s="1"/>
    </row>
    <row r="1619" spans="6:40" x14ac:dyDescent="0.55000000000000004">
      <c r="F1619" s="1"/>
      <c r="G1619" s="1"/>
      <c r="H1619" s="2"/>
      <c r="X1619" s="1"/>
      <c r="AF1619" s="5"/>
      <c r="AN1619" s="5"/>
    </row>
    <row r="1620" spans="6:40" x14ac:dyDescent="0.55000000000000004">
      <c r="F1620" s="1"/>
      <c r="G1620" s="1"/>
      <c r="H1620" s="2"/>
      <c r="X1620" s="1"/>
    </row>
    <row r="1621" spans="6:40" x14ac:dyDescent="0.55000000000000004">
      <c r="F1621" s="1"/>
      <c r="G1621" s="1"/>
      <c r="H1621" s="2"/>
      <c r="X1621" s="1"/>
    </row>
    <row r="1622" spans="6:40" x14ac:dyDescent="0.55000000000000004">
      <c r="F1622" s="1"/>
      <c r="G1622" s="1"/>
      <c r="H1622" s="2"/>
      <c r="X1622" s="1"/>
    </row>
    <row r="1623" spans="6:40" x14ac:dyDescent="0.55000000000000004">
      <c r="F1623" s="1"/>
      <c r="G1623" s="1"/>
      <c r="H1623" s="2"/>
      <c r="X1623" s="1"/>
    </row>
    <row r="1624" spans="6:40" x14ac:dyDescent="0.55000000000000004">
      <c r="F1624" s="1"/>
      <c r="G1624" s="1"/>
      <c r="H1624" s="2"/>
      <c r="X1624" s="1"/>
    </row>
    <row r="1625" spans="6:40" x14ac:dyDescent="0.55000000000000004">
      <c r="F1625" s="1"/>
      <c r="G1625" s="1"/>
      <c r="H1625" s="2"/>
      <c r="X1625" s="1"/>
    </row>
    <row r="1626" spans="6:40" x14ac:dyDescent="0.55000000000000004">
      <c r="F1626" s="1"/>
      <c r="G1626" s="1"/>
      <c r="H1626" s="2"/>
      <c r="X1626" s="1"/>
    </row>
    <row r="1627" spans="6:40" x14ac:dyDescent="0.55000000000000004">
      <c r="F1627" s="1"/>
      <c r="G1627" s="1"/>
      <c r="H1627" s="2"/>
      <c r="X1627" s="1"/>
    </row>
    <row r="1628" spans="6:40" x14ac:dyDescent="0.55000000000000004">
      <c r="F1628" s="1"/>
      <c r="G1628" s="1"/>
      <c r="H1628" s="2"/>
      <c r="X1628" s="1"/>
    </row>
    <row r="1629" spans="6:40" x14ac:dyDescent="0.55000000000000004">
      <c r="F1629" s="1"/>
      <c r="G1629" s="1"/>
      <c r="H1629" s="2"/>
      <c r="X1629" s="1"/>
    </row>
    <row r="1630" spans="6:40" x14ac:dyDescent="0.55000000000000004">
      <c r="F1630" s="1"/>
      <c r="G1630" s="1"/>
      <c r="H1630" s="2"/>
      <c r="X1630" s="1"/>
    </row>
    <row r="1631" spans="6:40" x14ac:dyDescent="0.55000000000000004">
      <c r="F1631" s="1"/>
      <c r="G1631" s="1"/>
      <c r="H1631" s="2"/>
      <c r="X1631" s="1"/>
    </row>
    <row r="1632" spans="6:40" x14ac:dyDescent="0.55000000000000004">
      <c r="F1632" s="1"/>
      <c r="G1632" s="1"/>
      <c r="H1632" s="2"/>
      <c r="X1632" s="1"/>
    </row>
    <row r="1633" spans="6:40" x14ac:dyDescent="0.55000000000000004">
      <c r="F1633" s="1"/>
      <c r="G1633" s="1"/>
      <c r="H1633" s="2"/>
      <c r="X1633" s="1"/>
    </row>
    <row r="1634" spans="6:40" x14ac:dyDescent="0.55000000000000004">
      <c r="F1634" s="1"/>
      <c r="G1634" s="1"/>
      <c r="H1634" s="2"/>
      <c r="X1634" s="1"/>
    </row>
    <row r="1635" spans="6:40" x14ac:dyDescent="0.55000000000000004">
      <c r="F1635" s="1"/>
      <c r="G1635" s="1"/>
      <c r="H1635" s="2"/>
      <c r="X1635" s="1"/>
    </row>
    <row r="1636" spans="6:40" x14ac:dyDescent="0.55000000000000004">
      <c r="F1636" s="1"/>
      <c r="G1636" s="1"/>
      <c r="H1636" s="2"/>
      <c r="X1636" s="1"/>
    </row>
    <row r="1637" spans="6:40" x14ac:dyDescent="0.55000000000000004">
      <c r="F1637" s="1"/>
      <c r="G1637" s="1"/>
      <c r="H1637" s="2"/>
      <c r="X1637" s="1"/>
      <c r="AF1637" s="4"/>
      <c r="AN1637" s="4"/>
    </row>
    <row r="1638" spans="6:40" x14ac:dyDescent="0.55000000000000004">
      <c r="F1638" s="1"/>
      <c r="G1638" s="1"/>
      <c r="H1638" s="2"/>
      <c r="X1638" s="1"/>
    </row>
    <row r="1639" spans="6:40" x14ac:dyDescent="0.55000000000000004">
      <c r="F1639" s="1"/>
      <c r="G1639" s="1"/>
      <c r="H1639" s="2"/>
      <c r="X1639" s="1"/>
    </row>
    <row r="1640" spans="6:40" x14ac:dyDescent="0.55000000000000004">
      <c r="F1640" s="1"/>
      <c r="G1640" s="1"/>
      <c r="H1640" s="2"/>
      <c r="X1640" s="1"/>
    </row>
    <row r="1641" spans="6:40" x14ac:dyDescent="0.55000000000000004">
      <c r="F1641" s="1"/>
      <c r="G1641" s="1"/>
      <c r="H1641" s="2"/>
      <c r="X1641" s="1"/>
    </row>
    <row r="1642" spans="6:40" x14ac:dyDescent="0.55000000000000004">
      <c r="F1642" s="1"/>
      <c r="G1642" s="1"/>
      <c r="H1642" s="2"/>
      <c r="X1642" s="1"/>
      <c r="AF1642" s="4"/>
      <c r="AN1642" s="4"/>
    </row>
    <row r="1643" spans="6:40" x14ac:dyDescent="0.55000000000000004">
      <c r="F1643" s="1"/>
      <c r="G1643" s="1"/>
      <c r="H1643" s="2"/>
      <c r="X1643" s="1"/>
    </row>
    <row r="1644" spans="6:40" x14ac:dyDescent="0.55000000000000004">
      <c r="F1644" s="1"/>
      <c r="G1644" s="1"/>
      <c r="H1644" s="2"/>
      <c r="X1644" s="1"/>
    </row>
    <row r="1645" spans="6:40" x14ac:dyDescent="0.55000000000000004">
      <c r="F1645" s="1"/>
      <c r="G1645" s="1"/>
      <c r="H1645" s="2"/>
      <c r="X1645" s="1"/>
    </row>
    <row r="1646" spans="6:40" x14ac:dyDescent="0.55000000000000004">
      <c r="F1646" s="1"/>
      <c r="G1646" s="1"/>
      <c r="H1646" s="2"/>
      <c r="X1646" s="1"/>
    </row>
    <row r="1647" spans="6:40" x14ac:dyDescent="0.55000000000000004">
      <c r="F1647" s="1"/>
      <c r="G1647" s="1"/>
      <c r="H1647" s="2"/>
      <c r="X1647" s="1"/>
    </row>
    <row r="1648" spans="6:40" x14ac:dyDescent="0.55000000000000004">
      <c r="F1648" s="1"/>
      <c r="G1648" s="1"/>
      <c r="H1648" s="2"/>
      <c r="X1648" s="1"/>
    </row>
    <row r="1649" spans="6:42" x14ac:dyDescent="0.55000000000000004">
      <c r="F1649" s="1"/>
      <c r="G1649" s="1"/>
      <c r="H1649" s="2"/>
      <c r="X1649" s="1"/>
    </row>
    <row r="1650" spans="6:42" x14ac:dyDescent="0.55000000000000004">
      <c r="F1650" s="1"/>
      <c r="G1650" s="1"/>
      <c r="H1650" s="2"/>
      <c r="X1650" s="1"/>
    </row>
    <row r="1651" spans="6:42" x14ac:dyDescent="0.55000000000000004">
      <c r="F1651" s="1"/>
      <c r="G1651" s="1"/>
      <c r="H1651" s="2"/>
      <c r="X1651" s="1"/>
    </row>
    <row r="1652" spans="6:42" x14ac:dyDescent="0.55000000000000004">
      <c r="F1652" s="1"/>
      <c r="G1652" s="1"/>
      <c r="H1652" s="2"/>
      <c r="X1652" s="1"/>
    </row>
    <row r="1653" spans="6:42" x14ac:dyDescent="0.55000000000000004">
      <c r="F1653" s="1"/>
      <c r="G1653" s="1"/>
      <c r="H1653" s="2"/>
      <c r="X1653" s="1"/>
      <c r="AF1653" s="4"/>
      <c r="AN1653" s="4"/>
    </row>
    <row r="1654" spans="6:42" x14ac:dyDescent="0.55000000000000004">
      <c r="F1654" s="1"/>
      <c r="G1654" s="1"/>
      <c r="H1654" s="2"/>
      <c r="X1654" s="1"/>
    </row>
    <row r="1655" spans="6:42" x14ac:dyDescent="0.55000000000000004">
      <c r="F1655" s="1"/>
      <c r="G1655" s="1"/>
      <c r="H1655" s="2"/>
      <c r="X1655" s="1"/>
    </row>
    <row r="1656" spans="6:42" x14ac:dyDescent="0.55000000000000004">
      <c r="F1656" s="1"/>
      <c r="G1656" s="1"/>
      <c r="H1656" s="2"/>
      <c r="X1656" s="1"/>
    </row>
    <row r="1657" spans="6:42" x14ac:dyDescent="0.55000000000000004">
      <c r="F1657" s="1"/>
      <c r="G1657" s="1"/>
      <c r="H1657" s="2"/>
      <c r="X1657" s="1"/>
      <c r="AP1657" s="2"/>
    </row>
    <row r="1658" spans="6:42" x14ac:dyDescent="0.55000000000000004">
      <c r="F1658" s="1"/>
      <c r="G1658" s="1"/>
      <c r="H1658" s="2"/>
      <c r="X1658" s="1"/>
    </row>
    <row r="1659" spans="6:42" x14ac:dyDescent="0.55000000000000004">
      <c r="F1659" s="1"/>
      <c r="G1659" s="1"/>
      <c r="H1659" s="2"/>
      <c r="X1659" s="1"/>
    </row>
    <row r="1660" spans="6:42" x14ac:dyDescent="0.55000000000000004">
      <c r="F1660" s="1"/>
      <c r="G1660" s="1"/>
      <c r="H1660" s="2"/>
      <c r="X1660" s="1"/>
    </row>
    <row r="1661" spans="6:42" x14ac:dyDescent="0.55000000000000004">
      <c r="F1661" s="1"/>
      <c r="G1661" s="1"/>
      <c r="H1661" s="2"/>
      <c r="X1661" s="1"/>
    </row>
    <row r="1662" spans="6:42" x14ac:dyDescent="0.55000000000000004">
      <c r="F1662" s="1"/>
      <c r="G1662" s="1"/>
      <c r="H1662" s="2"/>
      <c r="X1662" s="1"/>
    </row>
    <row r="1663" spans="6:42" x14ac:dyDescent="0.55000000000000004">
      <c r="F1663" s="1"/>
      <c r="G1663" s="1"/>
      <c r="H1663" s="2"/>
      <c r="X1663" s="1"/>
    </row>
    <row r="1664" spans="6:42" x14ac:dyDescent="0.55000000000000004">
      <c r="F1664" s="1"/>
      <c r="G1664" s="1"/>
      <c r="H1664" s="2"/>
      <c r="X1664" s="1"/>
    </row>
    <row r="1665" spans="6:42" x14ac:dyDescent="0.55000000000000004">
      <c r="F1665" s="1"/>
      <c r="G1665" s="1"/>
      <c r="H1665" s="2"/>
      <c r="X1665" s="1"/>
    </row>
    <row r="1666" spans="6:42" x14ac:dyDescent="0.55000000000000004">
      <c r="F1666" s="1"/>
      <c r="G1666" s="1"/>
      <c r="H1666" s="2"/>
      <c r="X1666" s="1"/>
    </row>
    <row r="1667" spans="6:42" x14ac:dyDescent="0.55000000000000004">
      <c r="F1667" s="1"/>
      <c r="H1667" s="2"/>
    </row>
    <row r="1668" spans="6:42" x14ac:dyDescent="0.55000000000000004">
      <c r="F1668" s="1"/>
      <c r="G1668" s="1"/>
      <c r="H1668" s="2"/>
      <c r="X1668" s="1"/>
    </row>
    <row r="1669" spans="6:42" x14ac:dyDescent="0.55000000000000004">
      <c r="F1669" s="1"/>
      <c r="G1669" s="1"/>
      <c r="H1669" s="2"/>
      <c r="X1669" s="1"/>
    </row>
    <row r="1670" spans="6:42" x14ac:dyDescent="0.55000000000000004">
      <c r="F1670" s="1"/>
      <c r="H1670" s="2"/>
    </row>
    <row r="1671" spans="6:42" x14ac:dyDescent="0.55000000000000004">
      <c r="F1671" s="1"/>
      <c r="G1671" s="1"/>
      <c r="H1671" s="2"/>
      <c r="X1671" s="1"/>
    </row>
    <row r="1672" spans="6:42" x14ac:dyDescent="0.55000000000000004">
      <c r="F1672" s="1"/>
      <c r="H1672" s="2"/>
    </row>
    <row r="1673" spans="6:42" x14ac:dyDescent="0.55000000000000004">
      <c r="F1673" s="1"/>
      <c r="G1673" s="1"/>
      <c r="H1673" s="2"/>
      <c r="X1673" s="1"/>
    </row>
    <row r="1674" spans="6:42" x14ac:dyDescent="0.55000000000000004">
      <c r="F1674" s="1"/>
      <c r="G1674" s="1"/>
      <c r="H1674" s="2"/>
      <c r="X1674" s="1"/>
    </row>
    <row r="1675" spans="6:42" x14ac:dyDescent="0.55000000000000004">
      <c r="F1675" s="1"/>
      <c r="G1675" s="1"/>
      <c r="H1675" s="2"/>
      <c r="X1675" s="1"/>
      <c r="AP1675" s="2"/>
    </row>
    <row r="1676" spans="6:42" x14ac:dyDescent="0.55000000000000004">
      <c r="F1676" s="1"/>
      <c r="G1676" s="1"/>
      <c r="H1676" s="2"/>
      <c r="X1676" s="1"/>
    </row>
    <row r="1677" spans="6:42" x14ac:dyDescent="0.55000000000000004">
      <c r="F1677" s="1"/>
      <c r="G1677" s="1"/>
      <c r="H1677" s="2"/>
      <c r="X1677" s="1"/>
    </row>
    <row r="1678" spans="6:42" x14ac:dyDescent="0.55000000000000004">
      <c r="F1678" s="1"/>
      <c r="G1678" s="1"/>
      <c r="H1678" s="2"/>
      <c r="X1678" s="1"/>
      <c r="AP1678" s="2"/>
    </row>
    <row r="1679" spans="6:42" x14ac:dyDescent="0.55000000000000004">
      <c r="F1679" s="1"/>
      <c r="G1679" s="1"/>
      <c r="H1679" s="2"/>
      <c r="X1679" s="1"/>
    </row>
    <row r="1680" spans="6:42" x14ac:dyDescent="0.55000000000000004">
      <c r="F1680" s="1"/>
      <c r="G1680" s="1"/>
      <c r="H1680" s="2"/>
      <c r="X1680" s="1"/>
    </row>
    <row r="1681" spans="6:42" x14ac:dyDescent="0.55000000000000004">
      <c r="F1681" s="1"/>
      <c r="H1681" s="2"/>
    </row>
    <row r="1682" spans="6:42" x14ac:dyDescent="0.55000000000000004">
      <c r="F1682" s="1"/>
      <c r="G1682" s="1"/>
      <c r="H1682" s="2"/>
      <c r="X1682" s="1"/>
    </row>
    <row r="1683" spans="6:42" x14ac:dyDescent="0.55000000000000004">
      <c r="F1683" s="1"/>
      <c r="G1683" s="1"/>
      <c r="H1683" s="2"/>
      <c r="X1683" s="1"/>
    </row>
    <row r="1684" spans="6:42" x14ac:dyDescent="0.55000000000000004">
      <c r="F1684" s="1"/>
      <c r="G1684" s="1"/>
      <c r="H1684" s="2"/>
      <c r="X1684" s="1"/>
    </row>
    <row r="1685" spans="6:42" x14ac:dyDescent="0.55000000000000004">
      <c r="F1685" s="1"/>
      <c r="G1685" s="1"/>
      <c r="H1685" s="2"/>
      <c r="X1685" s="1"/>
    </row>
    <row r="1686" spans="6:42" x14ac:dyDescent="0.55000000000000004">
      <c r="F1686" s="1"/>
      <c r="G1686" s="1"/>
      <c r="H1686" s="2"/>
      <c r="X1686" s="1"/>
    </row>
    <row r="1687" spans="6:42" x14ac:dyDescent="0.55000000000000004">
      <c r="F1687" s="1"/>
      <c r="G1687" s="1"/>
      <c r="H1687" s="2"/>
      <c r="X1687" s="1"/>
    </row>
    <row r="1688" spans="6:42" x14ac:dyDescent="0.55000000000000004">
      <c r="F1688" s="1"/>
      <c r="G1688" s="1"/>
      <c r="H1688" s="2"/>
      <c r="X1688" s="1"/>
      <c r="AP1688" s="2"/>
    </row>
    <row r="1689" spans="6:42" x14ac:dyDescent="0.55000000000000004">
      <c r="F1689" s="1"/>
      <c r="G1689" s="1"/>
      <c r="H1689" s="2"/>
      <c r="X1689" s="1"/>
      <c r="AF1689" s="4"/>
      <c r="AN1689" s="4"/>
    </row>
    <row r="1690" spans="6:42" x14ac:dyDescent="0.55000000000000004">
      <c r="F1690" s="1"/>
      <c r="G1690" s="1"/>
      <c r="H1690" s="2"/>
      <c r="X1690" s="1"/>
    </row>
    <row r="1691" spans="6:42" x14ac:dyDescent="0.55000000000000004">
      <c r="F1691" s="1"/>
      <c r="G1691" s="1"/>
      <c r="H1691" s="2"/>
      <c r="X1691" s="1"/>
    </row>
    <row r="1692" spans="6:42" x14ac:dyDescent="0.55000000000000004">
      <c r="F1692" s="1"/>
      <c r="G1692" s="1"/>
      <c r="H1692" s="2"/>
      <c r="X1692" s="1"/>
    </row>
    <row r="1693" spans="6:42" x14ac:dyDescent="0.55000000000000004">
      <c r="F1693" s="1"/>
      <c r="G1693" s="1"/>
      <c r="H1693" s="2"/>
      <c r="X1693" s="1"/>
    </row>
    <row r="1694" spans="6:42" x14ac:dyDescent="0.55000000000000004">
      <c r="F1694" s="1"/>
      <c r="G1694" s="1"/>
      <c r="H1694" s="2"/>
      <c r="X1694" s="1"/>
    </row>
    <row r="1695" spans="6:42" x14ac:dyDescent="0.55000000000000004">
      <c r="F1695" s="1"/>
      <c r="G1695" s="1"/>
      <c r="H1695" s="2"/>
      <c r="X1695" s="1"/>
      <c r="AP1695" s="2"/>
    </row>
    <row r="1696" spans="6:42" x14ac:dyDescent="0.55000000000000004">
      <c r="F1696" s="1"/>
      <c r="G1696" s="1"/>
      <c r="H1696" s="2"/>
      <c r="X1696" s="1"/>
    </row>
    <row r="1697" spans="6:24" x14ac:dyDescent="0.55000000000000004">
      <c r="F1697" s="1"/>
      <c r="H1697" s="2"/>
    </row>
    <row r="1698" spans="6:24" x14ac:dyDescent="0.55000000000000004">
      <c r="F1698" s="1"/>
      <c r="G1698" s="1"/>
      <c r="H1698" s="2"/>
      <c r="X1698" s="1"/>
    </row>
    <row r="1699" spans="6:24" x14ac:dyDescent="0.55000000000000004">
      <c r="F1699" s="1"/>
      <c r="G1699" s="1"/>
      <c r="H1699" s="2"/>
      <c r="X1699" s="1"/>
    </row>
    <row r="1700" spans="6:24" x14ac:dyDescent="0.55000000000000004">
      <c r="F1700" s="1"/>
      <c r="G1700" s="1"/>
      <c r="H1700" s="2"/>
      <c r="X1700" s="1"/>
    </row>
    <row r="1701" spans="6:24" x14ac:dyDescent="0.55000000000000004">
      <c r="F1701" s="1"/>
      <c r="G1701" s="1"/>
      <c r="H1701" s="2"/>
      <c r="X1701" s="1"/>
    </row>
    <row r="1702" spans="6:24" x14ac:dyDescent="0.55000000000000004">
      <c r="F1702" s="1"/>
      <c r="G1702" s="1"/>
      <c r="H1702" s="2"/>
      <c r="X1702" s="1"/>
    </row>
    <row r="1703" spans="6:24" x14ac:dyDescent="0.55000000000000004">
      <c r="F1703" s="1"/>
      <c r="G1703" s="1"/>
      <c r="H1703" s="2"/>
      <c r="X1703" s="1"/>
    </row>
    <row r="1704" spans="6:24" x14ac:dyDescent="0.55000000000000004">
      <c r="F1704" s="1"/>
      <c r="G1704" s="1"/>
      <c r="H1704" s="2"/>
      <c r="X1704" s="1"/>
    </row>
    <row r="1705" spans="6:24" x14ac:dyDescent="0.55000000000000004">
      <c r="F1705" s="1"/>
      <c r="G1705" s="1"/>
      <c r="H1705" s="2"/>
      <c r="X1705" s="1"/>
    </row>
    <row r="1706" spans="6:24" x14ac:dyDescent="0.55000000000000004">
      <c r="F1706" s="1"/>
      <c r="G1706" s="1"/>
      <c r="H1706" s="2"/>
      <c r="X1706" s="1"/>
    </row>
    <row r="1707" spans="6:24" x14ac:dyDescent="0.55000000000000004">
      <c r="F1707" s="1"/>
      <c r="G1707" s="1"/>
      <c r="H1707" s="2"/>
      <c r="X1707" s="1"/>
    </row>
    <row r="1708" spans="6:24" x14ac:dyDescent="0.55000000000000004">
      <c r="F1708" s="1"/>
      <c r="G1708" s="1"/>
      <c r="H1708" s="2"/>
      <c r="X1708" s="1"/>
    </row>
    <row r="1709" spans="6:24" x14ac:dyDescent="0.55000000000000004">
      <c r="F1709" s="1"/>
      <c r="G1709" s="1"/>
      <c r="H1709" s="2"/>
      <c r="X1709" s="1"/>
    </row>
    <row r="1710" spans="6:24" x14ac:dyDescent="0.55000000000000004">
      <c r="F1710" s="1"/>
      <c r="G1710" s="1"/>
      <c r="H1710" s="2"/>
      <c r="X1710" s="1"/>
    </row>
    <row r="1711" spans="6:24" x14ac:dyDescent="0.55000000000000004">
      <c r="F1711" s="1"/>
      <c r="G1711" s="1"/>
      <c r="H1711" s="2"/>
      <c r="X1711" s="1"/>
    </row>
    <row r="1712" spans="6:24" x14ac:dyDescent="0.55000000000000004">
      <c r="F1712" s="1"/>
      <c r="G1712" s="1"/>
      <c r="H1712" s="2"/>
      <c r="X1712" s="1"/>
    </row>
    <row r="1713" spans="6:40" x14ac:dyDescent="0.55000000000000004">
      <c r="F1713" s="1"/>
      <c r="G1713" s="1"/>
      <c r="H1713" s="2"/>
      <c r="X1713" s="1"/>
    </row>
    <row r="1714" spans="6:40" x14ac:dyDescent="0.55000000000000004">
      <c r="F1714" s="1"/>
      <c r="G1714" s="1"/>
      <c r="H1714" s="2"/>
      <c r="X1714" s="1"/>
    </row>
    <row r="1715" spans="6:40" x14ac:dyDescent="0.55000000000000004">
      <c r="F1715" s="1"/>
      <c r="G1715" s="1"/>
      <c r="H1715" s="2"/>
      <c r="X1715" s="1"/>
    </row>
    <row r="1716" spans="6:40" x14ac:dyDescent="0.55000000000000004">
      <c r="F1716" s="1"/>
      <c r="G1716" s="1"/>
      <c r="H1716" s="2"/>
      <c r="X1716" s="1"/>
    </row>
    <row r="1717" spans="6:40" x14ac:dyDescent="0.55000000000000004">
      <c r="F1717" s="1"/>
      <c r="G1717" s="1"/>
      <c r="H1717" s="2"/>
      <c r="X1717" s="1"/>
    </row>
    <row r="1718" spans="6:40" x14ac:dyDescent="0.55000000000000004">
      <c r="F1718" s="1"/>
      <c r="H1718" s="2"/>
    </row>
    <row r="1719" spans="6:40" x14ac:dyDescent="0.55000000000000004">
      <c r="F1719" s="1"/>
      <c r="G1719" s="1"/>
      <c r="H1719" s="2"/>
      <c r="X1719" s="1"/>
    </row>
    <row r="1720" spans="6:40" x14ac:dyDescent="0.55000000000000004">
      <c r="F1720" s="1"/>
      <c r="G1720" s="1"/>
      <c r="H1720" s="2"/>
      <c r="X1720" s="1"/>
      <c r="AF1720" s="4"/>
      <c r="AN1720" s="4"/>
    </row>
    <row r="1721" spans="6:40" x14ac:dyDescent="0.55000000000000004">
      <c r="F1721" s="1"/>
      <c r="G1721" s="1"/>
      <c r="H1721" s="2"/>
      <c r="X1721" s="1"/>
    </row>
    <row r="1722" spans="6:40" x14ac:dyDescent="0.55000000000000004">
      <c r="F1722" s="1"/>
      <c r="G1722" s="1"/>
      <c r="H1722" s="2"/>
      <c r="X1722" s="1"/>
    </row>
    <row r="1723" spans="6:40" x14ac:dyDescent="0.55000000000000004">
      <c r="F1723" s="1"/>
      <c r="G1723" s="1"/>
      <c r="H1723" s="2"/>
      <c r="X1723" s="1"/>
    </row>
    <row r="1724" spans="6:40" x14ac:dyDescent="0.55000000000000004">
      <c r="F1724" s="1"/>
      <c r="G1724" s="1"/>
      <c r="H1724" s="2"/>
      <c r="X1724" s="1"/>
    </row>
    <row r="1725" spans="6:40" x14ac:dyDescent="0.55000000000000004">
      <c r="F1725" s="1"/>
      <c r="G1725" s="1"/>
      <c r="H1725" s="2"/>
      <c r="X1725" s="1"/>
    </row>
    <row r="1726" spans="6:40" x14ac:dyDescent="0.55000000000000004">
      <c r="F1726" s="1"/>
      <c r="G1726" s="1"/>
      <c r="H1726" s="2"/>
      <c r="X1726" s="1"/>
    </row>
    <row r="1727" spans="6:40" x14ac:dyDescent="0.55000000000000004">
      <c r="F1727" s="1"/>
      <c r="G1727" s="1"/>
      <c r="H1727" s="2"/>
      <c r="X1727" s="1"/>
    </row>
    <row r="1728" spans="6:40" x14ac:dyDescent="0.55000000000000004">
      <c r="F1728" s="1"/>
      <c r="H1728" s="2"/>
    </row>
    <row r="1729" spans="6:40" x14ac:dyDescent="0.55000000000000004">
      <c r="F1729" s="1"/>
      <c r="G1729" s="1"/>
      <c r="H1729" s="2"/>
      <c r="X1729" s="1"/>
    </row>
    <row r="1730" spans="6:40" x14ac:dyDescent="0.55000000000000004">
      <c r="F1730" s="1"/>
      <c r="G1730" s="1"/>
      <c r="H1730" s="2"/>
      <c r="X1730" s="1"/>
    </row>
    <row r="1731" spans="6:40" x14ac:dyDescent="0.55000000000000004">
      <c r="F1731" s="1"/>
      <c r="G1731" s="1"/>
      <c r="H1731" s="2"/>
      <c r="X1731" s="1"/>
    </row>
    <row r="1732" spans="6:40" x14ac:dyDescent="0.55000000000000004">
      <c r="F1732" s="1"/>
      <c r="G1732" s="1"/>
      <c r="H1732" s="2"/>
      <c r="X1732" s="1"/>
    </row>
    <row r="1733" spans="6:40" x14ac:dyDescent="0.55000000000000004">
      <c r="F1733" s="1"/>
      <c r="G1733" s="1"/>
      <c r="H1733" s="2"/>
      <c r="X1733" s="1"/>
    </row>
    <row r="1734" spans="6:40" x14ac:dyDescent="0.55000000000000004">
      <c r="F1734" s="1"/>
      <c r="G1734" s="1"/>
      <c r="H1734" s="2"/>
      <c r="X1734" s="1"/>
    </row>
    <row r="1735" spans="6:40" x14ac:dyDescent="0.55000000000000004">
      <c r="F1735" s="1"/>
      <c r="G1735" s="1"/>
      <c r="H1735" s="2"/>
      <c r="X1735" s="1"/>
    </row>
    <row r="1736" spans="6:40" x14ac:dyDescent="0.55000000000000004">
      <c r="F1736" s="1"/>
      <c r="G1736" s="1"/>
      <c r="H1736" s="2"/>
      <c r="X1736" s="1"/>
    </row>
    <row r="1737" spans="6:40" x14ac:dyDescent="0.55000000000000004">
      <c r="F1737" s="1"/>
      <c r="H1737" s="2"/>
    </row>
    <row r="1738" spans="6:40" x14ac:dyDescent="0.55000000000000004">
      <c r="F1738" s="1"/>
      <c r="G1738" s="1"/>
      <c r="H1738" s="2"/>
      <c r="X1738" s="1"/>
    </row>
    <row r="1739" spans="6:40" x14ac:dyDescent="0.55000000000000004">
      <c r="F1739" s="1"/>
      <c r="G1739" s="1"/>
      <c r="H1739" s="2"/>
      <c r="X1739" s="1"/>
    </row>
    <row r="1740" spans="6:40" x14ac:dyDescent="0.55000000000000004">
      <c r="F1740" s="1"/>
      <c r="G1740" s="1"/>
      <c r="H1740" s="2"/>
      <c r="X1740" s="1"/>
    </row>
    <row r="1741" spans="6:40" x14ac:dyDescent="0.55000000000000004">
      <c r="F1741" s="1"/>
      <c r="G1741" s="1"/>
      <c r="H1741" s="2"/>
      <c r="X1741" s="1"/>
      <c r="AF1741" s="4"/>
      <c r="AN1741" s="4"/>
    </row>
    <row r="1742" spans="6:40" x14ac:dyDescent="0.55000000000000004">
      <c r="F1742" s="1"/>
      <c r="G1742" s="1"/>
      <c r="H1742" s="2"/>
      <c r="X1742" s="1"/>
    </row>
    <row r="1743" spans="6:40" x14ac:dyDescent="0.55000000000000004">
      <c r="F1743" s="1"/>
      <c r="G1743" s="1"/>
      <c r="H1743" s="2"/>
      <c r="X1743" s="1"/>
    </row>
    <row r="1744" spans="6:40" x14ac:dyDescent="0.55000000000000004">
      <c r="F1744" s="1"/>
      <c r="G1744" s="1"/>
      <c r="H1744" s="2"/>
      <c r="X1744" s="1"/>
    </row>
    <row r="1745" spans="6:42" x14ac:dyDescent="0.55000000000000004">
      <c r="F1745" s="1"/>
      <c r="G1745" s="1"/>
      <c r="H1745" s="2"/>
      <c r="X1745" s="1"/>
    </row>
    <row r="1746" spans="6:42" x14ac:dyDescent="0.55000000000000004">
      <c r="F1746" s="1"/>
      <c r="G1746" s="1"/>
      <c r="H1746" s="2"/>
      <c r="X1746" s="1"/>
    </row>
    <row r="1747" spans="6:42" x14ac:dyDescent="0.55000000000000004">
      <c r="F1747" s="1"/>
      <c r="G1747" s="1"/>
      <c r="H1747" s="2"/>
      <c r="X1747" s="1"/>
    </row>
    <row r="1748" spans="6:42" x14ac:dyDescent="0.55000000000000004">
      <c r="F1748" s="1"/>
      <c r="G1748" s="1"/>
      <c r="H1748" s="2"/>
      <c r="X1748" s="1"/>
    </row>
    <row r="1749" spans="6:42" x14ac:dyDescent="0.55000000000000004">
      <c r="F1749" s="1"/>
      <c r="G1749" s="1"/>
      <c r="H1749" s="2"/>
      <c r="X1749" s="1"/>
      <c r="AF1749" s="4"/>
      <c r="AN1749" s="4"/>
    </row>
    <row r="1750" spans="6:42" x14ac:dyDescent="0.55000000000000004">
      <c r="F1750" s="1"/>
      <c r="G1750" s="1"/>
      <c r="H1750" s="2"/>
      <c r="X1750" s="1"/>
    </row>
    <row r="1751" spans="6:42" x14ac:dyDescent="0.55000000000000004">
      <c r="F1751" s="1"/>
      <c r="G1751" s="1"/>
      <c r="H1751" s="2"/>
      <c r="X1751" s="1"/>
    </row>
    <row r="1752" spans="6:42" x14ac:dyDescent="0.55000000000000004">
      <c r="F1752" s="1"/>
      <c r="G1752" s="1"/>
      <c r="H1752" s="2"/>
      <c r="X1752" s="1"/>
    </row>
    <row r="1753" spans="6:42" x14ac:dyDescent="0.55000000000000004">
      <c r="F1753" s="1"/>
      <c r="G1753" s="1"/>
      <c r="H1753" s="2"/>
      <c r="X1753" s="1"/>
    </row>
    <row r="1754" spans="6:42" x14ac:dyDescent="0.55000000000000004">
      <c r="F1754" s="1"/>
      <c r="G1754" s="1"/>
      <c r="H1754" s="2"/>
      <c r="X1754" s="1"/>
    </row>
    <row r="1755" spans="6:42" x14ac:dyDescent="0.55000000000000004">
      <c r="F1755" s="1"/>
      <c r="G1755" s="1"/>
      <c r="H1755" s="2"/>
      <c r="X1755" s="1"/>
    </row>
    <row r="1756" spans="6:42" x14ac:dyDescent="0.55000000000000004">
      <c r="F1756" s="1"/>
      <c r="G1756" s="1"/>
      <c r="H1756" s="2"/>
      <c r="X1756" s="1"/>
      <c r="AF1756" s="5"/>
      <c r="AN1756" s="5"/>
    </row>
    <row r="1757" spans="6:42" x14ac:dyDescent="0.55000000000000004">
      <c r="F1757" s="1"/>
      <c r="G1757" s="1"/>
      <c r="H1757" s="2"/>
      <c r="X1757" s="1"/>
    </row>
    <row r="1758" spans="6:42" x14ac:dyDescent="0.55000000000000004">
      <c r="F1758" s="1"/>
      <c r="G1758" s="1"/>
      <c r="H1758" s="2"/>
      <c r="X1758" s="1"/>
    </row>
    <row r="1759" spans="6:42" x14ac:dyDescent="0.55000000000000004">
      <c r="F1759" s="1"/>
      <c r="G1759" s="1"/>
      <c r="H1759" s="2"/>
      <c r="X1759" s="1"/>
      <c r="AP1759" s="2"/>
    </row>
    <row r="1760" spans="6:42" x14ac:dyDescent="0.55000000000000004">
      <c r="F1760" s="1"/>
      <c r="G1760" s="1"/>
      <c r="H1760" s="2"/>
      <c r="X1760" s="1"/>
    </row>
    <row r="1761" spans="6:40" x14ac:dyDescent="0.55000000000000004">
      <c r="F1761" s="1"/>
      <c r="G1761" s="1"/>
      <c r="H1761" s="2"/>
      <c r="X1761" s="1"/>
    </row>
    <row r="1762" spans="6:40" x14ac:dyDescent="0.55000000000000004">
      <c r="F1762" s="1"/>
      <c r="G1762" s="1"/>
      <c r="H1762" s="2"/>
      <c r="X1762" s="1"/>
    </row>
    <row r="1763" spans="6:40" x14ac:dyDescent="0.55000000000000004">
      <c r="F1763" s="1"/>
      <c r="G1763" s="1"/>
      <c r="H1763" s="2"/>
      <c r="X1763" s="1"/>
    </row>
    <row r="1764" spans="6:40" x14ac:dyDescent="0.55000000000000004">
      <c r="F1764" s="1"/>
      <c r="G1764" s="1"/>
      <c r="H1764" s="2"/>
      <c r="X1764" s="1"/>
    </row>
    <row r="1765" spans="6:40" x14ac:dyDescent="0.55000000000000004">
      <c r="F1765" s="1"/>
      <c r="G1765" s="1"/>
      <c r="H1765" s="2"/>
      <c r="X1765" s="1"/>
    </row>
    <row r="1766" spans="6:40" x14ac:dyDescent="0.55000000000000004">
      <c r="F1766" s="1"/>
      <c r="G1766" s="1"/>
      <c r="H1766" s="2"/>
      <c r="X1766" s="1"/>
      <c r="AF1766" s="4"/>
      <c r="AN1766" s="4"/>
    </row>
    <row r="1767" spans="6:40" x14ac:dyDescent="0.55000000000000004">
      <c r="F1767" s="1"/>
      <c r="G1767" s="1"/>
      <c r="H1767" s="2"/>
      <c r="X1767" s="1"/>
    </row>
    <row r="1768" spans="6:40" x14ac:dyDescent="0.55000000000000004">
      <c r="F1768" s="1"/>
      <c r="G1768" s="1"/>
      <c r="H1768" s="2"/>
      <c r="X1768" s="1"/>
    </row>
    <row r="1769" spans="6:40" x14ac:dyDescent="0.55000000000000004">
      <c r="F1769" s="1"/>
      <c r="G1769" s="1"/>
      <c r="H1769" s="2"/>
      <c r="X1769" s="1"/>
    </row>
    <row r="1770" spans="6:40" x14ac:dyDescent="0.55000000000000004">
      <c r="F1770" s="1"/>
      <c r="G1770" s="1"/>
      <c r="H1770" s="2"/>
      <c r="X1770" s="1"/>
    </row>
    <row r="1771" spans="6:40" x14ac:dyDescent="0.55000000000000004">
      <c r="F1771" s="1"/>
      <c r="G1771" s="1"/>
      <c r="H1771" s="2"/>
      <c r="X1771" s="1"/>
    </row>
    <row r="1772" spans="6:40" x14ac:dyDescent="0.55000000000000004">
      <c r="F1772" s="1"/>
      <c r="G1772" s="1"/>
      <c r="H1772" s="2"/>
      <c r="X1772" s="1"/>
      <c r="AF1772" s="4"/>
      <c r="AN1772" s="4"/>
    </row>
    <row r="1773" spans="6:40" x14ac:dyDescent="0.55000000000000004">
      <c r="F1773" s="1"/>
      <c r="G1773" s="1"/>
      <c r="H1773" s="2"/>
      <c r="X1773" s="1"/>
    </row>
    <row r="1774" spans="6:40" x14ac:dyDescent="0.55000000000000004">
      <c r="F1774" s="1"/>
      <c r="G1774" s="1"/>
      <c r="H1774" s="2"/>
      <c r="X1774" s="1"/>
    </row>
    <row r="1775" spans="6:40" x14ac:dyDescent="0.55000000000000004">
      <c r="F1775" s="1"/>
      <c r="G1775" s="1"/>
      <c r="H1775" s="2"/>
      <c r="X1775" s="1"/>
    </row>
    <row r="1776" spans="6:40" x14ac:dyDescent="0.55000000000000004">
      <c r="F1776" s="1"/>
      <c r="G1776" s="1"/>
      <c r="H1776" s="2"/>
      <c r="X1776" s="1"/>
    </row>
    <row r="1777" spans="6:40" x14ac:dyDescent="0.55000000000000004">
      <c r="F1777" s="1"/>
      <c r="G1777" s="1"/>
      <c r="H1777" s="2"/>
      <c r="X1777" s="1"/>
    </row>
    <row r="1778" spans="6:40" x14ac:dyDescent="0.55000000000000004">
      <c r="F1778" s="1"/>
      <c r="G1778" s="1"/>
      <c r="H1778" s="2"/>
      <c r="X1778" s="1"/>
    </row>
    <row r="1779" spans="6:40" x14ac:dyDescent="0.55000000000000004">
      <c r="F1779" s="1"/>
      <c r="G1779" s="1"/>
      <c r="H1779" s="2"/>
      <c r="X1779" s="1"/>
    </row>
    <row r="1780" spans="6:40" x14ac:dyDescent="0.55000000000000004">
      <c r="F1780" s="1"/>
      <c r="G1780" s="1"/>
      <c r="H1780" s="2"/>
      <c r="X1780" s="1"/>
    </row>
    <row r="1781" spans="6:40" x14ac:dyDescent="0.55000000000000004">
      <c r="F1781" s="1"/>
      <c r="G1781" s="1"/>
      <c r="H1781" s="2"/>
      <c r="X1781" s="1"/>
    </row>
    <row r="1782" spans="6:40" x14ac:dyDescent="0.55000000000000004">
      <c r="F1782" s="1"/>
      <c r="G1782" s="1"/>
      <c r="H1782" s="2"/>
      <c r="X1782" s="1"/>
    </row>
    <row r="1783" spans="6:40" x14ac:dyDescent="0.55000000000000004">
      <c r="F1783" s="1"/>
      <c r="G1783" s="1"/>
      <c r="H1783" s="2"/>
      <c r="X1783" s="1"/>
      <c r="AF1783" s="4"/>
      <c r="AN1783" s="4"/>
    </row>
    <row r="1784" spans="6:40" x14ac:dyDescent="0.55000000000000004">
      <c r="F1784" s="1"/>
      <c r="G1784" s="1"/>
      <c r="H1784" s="2"/>
      <c r="X1784" s="1"/>
    </row>
    <row r="1785" spans="6:40" x14ac:dyDescent="0.55000000000000004">
      <c r="F1785" s="1"/>
      <c r="G1785" s="1"/>
      <c r="H1785" s="2"/>
      <c r="X1785" s="1"/>
    </row>
    <row r="1786" spans="6:40" x14ac:dyDescent="0.55000000000000004">
      <c r="F1786" s="1"/>
      <c r="G1786" s="1"/>
      <c r="H1786" s="2"/>
      <c r="X1786" s="1"/>
    </row>
    <row r="1787" spans="6:40" x14ac:dyDescent="0.55000000000000004">
      <c r="F1787" s="1"/>
      <c r="G1787" s="1"/>
      <c r="H1787" s="2"/>
      <c r="X1787" s="1"/>
    </row>
    <row r="1788" spans="6:40" x14ac:dyDescent="0.55000000000000004">
      <c r="F1788" s="1"/>
      <c r="G1788" s="1"/>
      <c r="H1788" s="2"/>
      <c r="X1788" s="1"/>
      <c r="AF1788" s="4"/>
      <c r="AN1788" s="4"/>
    </row>
    <row r="1789" spans="6:40" x14ac:dyDescent="0.55000000000000004">
      <c r="F1789" s="1"/>
      <c r="G1789" s="1"/>
      <c r="H1789" s="2"/>
      <c r="X1789" s="1"/>
    </row>
    <row r="1790" spans="6:40" x14ac:dyDescent="0.55000000000000004">
      <c r="F1790" s="1"/>
      <c r="G1790" s="1"/>
      <c r="H1790" s="2"/>
      <c r="X1790" s="1"/>
    </row>
    <row r="1791" spans="6:40" x14ac:dyDescent="0.55000000000000004">
      <c r="F1791" s="1"/>
      <c r="G1791" s="1"/>
      <c r="H1791" s="2"/>
      <c r="X1791" s="1"/>
    </row>
    <row r="1792" spans="6:40" x14ac:dyDescent="0.55000000000000004">
      <c r="F1792" s="1"/>
      <c r="G1792" s="1"/>
      <c r="H1792" s="2"/>
      <c r="X1792" s="1"/>
    </row>
    <row r="1793" spans="6:24" x14ac:dyDescent="0.55000000000000004">
      <c r="F1793" s="1"/>
      <c r="G1793" s="1"/>
      <c r="H1793" s="2"/>
      <c r="X1793" s="1"/>
    </row>
    <row r="1794" spans="6:24" x14ac:dyDescent="0.55000000000000004">
      <c r="F1794" s="1"/>
      <c r="G1794" s="1"/>
      <c r="H1794" s="2"/>
      <c r="X1794" s="1"/>
    </row>
    <row r="1795" spans="6:24" x14ac:dyDescent="0.55000000000000004">
      <c r="F1795" s="1"/>
      <c r="G1795" s="1"/>
      <c r="H1795" s="2"/>
      <c r="X1795" s="1"/>
    </row>
    <row r="1796" spans="6:24" x14ac:dyDescent="0.55000000000000004">
      <c r="F1796" s="1"/>
      <c r="G1796" s="1"/>
      <c r="H1796" s="2"/>
      <c r="X1796" s="1"/>
    </row>
    <row r="1797" spans="6:24" x14ac:dyDescent="0.55000000000000004">
      <c r="F1797" s="1"/>
      <c r="G1797" s="1"/>
      <c r="H1797" s="2"/>
      <c r="X1797" s="1"/>
    </row>
    <row r="1798" spans="6:24" x14ac:dyDescent="0.55000000000000004">
      <c r="F1798" s="1"/>
      <c r="G1798" s="1"/>
      <c r="H1798" s="2"/>
      <c r="X1798" s="1"/>
    </row>
    <row r="1799" spans="6:24" x14ac:dyDescent="0.55000000000000004">
      <c r="F1799" s="1"/>
      <c r="G1799" s="1"/>
      <c r="H1799" s="2"/>
      <c r="X1799" s="1"/>
    </row>
    <row r="1800" spans="6:24" x14ac:dyDescent="0.55000000000000004">
      <c r="F1800" s="1"/>
      <c r="G1800" s="1"/>
      <c r="H1800" s="2"/>
      <c r="X1800" s="1"/>
    </row>
    <row r="1801" spans="6:24" x14ac:dyDescent="0.55000000000000004">
      <c r="F1801" s="1"/>
      <c r="G1801" s="1"/>
      <c r="H1801" s="2"/>
      <c r="X1801" s="1"/>
    </row>
    <row r="1802" spans="6:24" x14ac:dyDescent="0.55000000000000004">
      <c r="F1802" s="1"/>
      <c r="G1802" s="1"/>
      <c r="H1802" s="2"/>
      <c r="X1802" s="1"/>
    </row>
    <row r="1803" spans="6:24" x14ac:dyDescent="0.55000000000000004">
      <c r="F1803" s="1"/>
      <c r="G1803" s="1"/>
      <c r="H1803" s="2"/>
      <c r="X1803" s="1"/>
    </row>
    <row r="1804" spans="6:24" x14ac:dyDescent="0.55000000000000004">
      <c r="F1804" s="1"/>
      <c r="G1804" s="1"/>
      <c r="H1804" s="2"/>
      <c r="X1804" s="1"/>
    </row>
    <row r="1805" spans="6:24" x14ac:dyDescent="0.55000000000000004">
      <c r="F1805" s="1"/>
      <c r="G1805" s="1"/>
      <c r="H1805" s="2"/>
      <c r="X1805" s="1"/>
    </row>
    <row r="1806" spans="6:24" x14ac:dyDescent="0.55000000000000004">
      <c r="F1806" s="1"/>
      <c r="G1806" s="1"/>
      <c r="H1806" s="2"/>
      <c r="X1806" s="1"/>
    </row>
    <row r="1807" spans="6:24" x14ac:dyDescent="0.55000000000000004">
      <c r="F1807" s="1"/>
      <c r="G1807" s="1"/>
      <c r="H1807" s="2"/>
      <c r="X1807" s="1"/>
    </row>
    <row r="1808" spans="6:24" x14ac:dyDescent="0.55000000000000004">
      <c r="F1808" s="1"/>
      <c r="G1808" s="1"/>
      <c r="H1808" s="2"/>
      <c r="X1808" s="1"/>
    </row>
    <row r="1809" spans="6:42" x14ac:dyDescent="0.55000000000000004">
      <c r="F1809" s="1"/>
      <c r="G1809" s="1"/>
      <c r="H1809" s="2"/>
      <c r="X1809" s="1"/>
    </row>
    <row r="1810" spans="6:42" x14ac:dyDescent="0.55000000000000004">
      <c r="F1810" s="1"/>
      <c r="G1810" s="1"/>
      <c r="H1810" s="2"/>
      <c r="X1810" s="1"/>
    </row>
    <row r="1811" spans="6:42" x14ac:dyDescent="0.55000000000000004">
      <c r="F1811" s="1"/>
      <c r="G1811" s="1"/>
      <c r="H1811" s="2"/>
      <c r="X1811" s="1"/>
    </row>
    <row r="1812" spans="6:42" x14ac:dyDescent="0.55000000000000004">
      <c r="F1812" s="1"/>
      <c r="G1812" s="1"/>
      <c r="H1812" s="2"/>
      <c r="X1812" s="1"/>
    </row>
    <row r="1813" spans="6:42" x14ac:dyDescent="0.55000000000000004">
      <c r="F1813" s="1"/>
      <c r="G1813" s="1"/>
      <c r="H1813" s="2"/>
      <c r="X1813" s="1"/>
    </row>
    <row r="1814" spans="6:42" x14ac:dyDescent="0.55000000000000004">
      <c r="F1814" s="1"/>
      <c r="G1814" s="1"/>
      <c r="H1814" s="2"/>
      <c r="X1814" s="1"/>
    </row>
    <row r="1815" spans="6:42" x14ac:dyDescent="0.55000000000000004">
      <c r="F1815" s="1"/>
      <c r="G1815" s="1"/>
      <c r="H1815" s="2"/>
      <c r="X1815" s="1"/>
    </row>
    <row r="1816" spans="6:42" x14ac:dyDescent="0.55000000000000004">
      <c r="F1816" s="1"/>
      <c r="G1816" s="1"/>
      <c r="H1816" s="2"/>
      <c r="X1816" s="1"/>
    </row>
    <row r="1817" spans="6:42" x14ac:dyDescent="0.55000000000000004">
      <c r="F1817" s="1"/>
      <c r="G1817" s="1"/>
      <c r="H1817" s="2"/>
      <c r="X1817" s="1"/>
    </row>
    <row r="1818" spans="6:42" x14ac:dyDescent="0.55000000000000004">
      <c r="F1818" s="1"/>
      <c r="G1818" s="1"/>
      <c r="H1818" s="2"/>
      <c r="X1818" s="1"/>
    </row>
    <row r="1819" spans="6:42" x14ac:dyDescent="0.55000000000000004">
      <c r="F1819" s="1"/>
      <c r="G1819" s="1"/>
      <c r="H1819" s="2"/>
      <c r="X1819" s="1"/>
      <c r="AP1819" s="2"/>
    </row>
    <row r="1820" spans="6:42" x14ac:dyDescent="0.55000000000000004">
      <c r="F1820" s="1"/>
      <c r="G1820" s="1"/>
      <c r="H1820" s="2"/>
      <c r="X1820" s="1"/>
    </row>
    <row r="1821" spans="6:42" x14ac:dyDescent="0.55000000000000004">
      <c r="F1821" s="1"/>
      <c r="G1821" s="1"/>
      <c r="H1821" s="2"/>
      <c r="X1821" s="1"/>
    </row>
    <row r="1822" spans="6:42" x14ac:dyDescent="0.55000000000000004">
      <c r="F1822" s="1"/>
      <c r="G1822" s="1"/>
      <c r="H1822" s="2"/>
      <c r="X1822" s="1"/>
    </row>
    <row r="1823" spans="6:42" x14ac:dyDescent="0.55000000000000004">
      <c r="F1823" s="1"/>
      <c r="G1823" s="1"/>
      <c r="H1823" s="2"/>
      <c r="X1823" s="1"/>
    </row>
    <row r="1824" spans="6:42" x14ac:dyDescent="0.55000000000000004">
      <c r="F1824" s="1"/>
      <c r="G1824" s="1"/>
      <c r="H1824" s="2"/>
      <c r="X1824" s="1"/>
    </row>
    <row r="1825" spans="6:40" x14ac:dyDescent="0.55000000000000004">
      <c r="F1825" s="1"/>
      <c r="G1825" s="1"/>
      <c r="H1825" s="2"/>
      <c r="X1825" s="1"/>
    </row>
    <row r="1826" spans="6:40" x14ac:dyDescent="0.55000000000000004">
      <c r="F1826" s="1"/>
      <c r="G1826" s="1"/>
      <c r="H1826" s="2"/>
      <c r="X1826" s="1"/>
      <c r="AF1826" s="4"/>
      <c r="AN1826" s="4"/>
    </row>
    <row r="1827" spans="6:40" x14ac:dyDescent="0.55000000000000004">
      <c r="F1827" s="1"/>
      <c r="G1827" s="1"/>
      <c r="H1827" s="2"/>
      <c r="X1827" s="1"/>
    </row>
    <row r="1828" spans="6:40" x14ac:dyDescent="0.55000000000000004">
      <c r="F1828" s="1"/>
      <c r="G1828" s="1"/>
      <c r="H1828" s="2"/>
      <c r="X1828" s="1"/>
    </row>
    <row r="1829" spans="6:40" x14ac:dyDescent="0.55000000000000004">
      <c r="F1829" s="1"/>
      <c r="G1829" s="1"/>
      <c r="H1829" s="2"/>
      <c r="X1829" s="1"/>
    </row>
    <row r="1830" spans="6:40" x14ac:dyDescent="0.55000000000000004">
      <c r="F1830" s="1"/>
      <c r="G1830" s="1"/>
      <c r="H1830" s="2"/>
      <c r="X1830" s="1"/>
    </row>
    <row r="1831" spans="6:40" x14ac:dyDescent="0.55000000000000004">
      <c r="F1831" s="1"/>
      <c r="G1831" s="1"/>
      <c r="H1831" s="2"/>
      <c r="X1831" s="1"/>
      <c r="AF1831" s="5"/>
      <c r="AN1831" s="5"/>
    </row>
    <row r="1832" spans="6:40" x14ac:dyDescent="0.55000000000000004">
      <c r="F1832" s="1"/>
      <c r="G1832" s="1"/>
      <c r="H1832" s="2"/>
      <c r="X1832" s="1"/>
    </row>
    <row r="1833" spans="6:40" x14ac:dyDescent="0.55000000000000004">
      <c r="F1833" s="1"/>
      <c r="G1833" s="1"/>
      <c r="H1833" s="2"/>
      <c r="X1833" s="1"/>
    </row>
    <row r="1834" spans="6:40" x14ac:dyDescent="0.55000000000000004">
      <c r="F1834" s="1"/>
      <c r="G1834" s="1"/>
      <c r="H1834" s="2"/>
      <c r="X1834" s="1"/>
    </row>
    <row r="1835" spans="6:40" x14ac:dyDescent="0.55000000000000004">
      <c r="F1835" s="1"/>
      <c r="G1835" s="1"/>
      <c r="H1835" s="2"/>
      <c r="X1835" s="1"/>
    </row>
    <row r="1836" spans="6:40" x14ac:dyDescent="0.55000000000000004">
      <c r="F1836" s="1"/>
      <c r="G1836" s="1"/>
      <c r="H1836" s="2"/>
      <c r="X1836" s="1"/>
    </row>
    <row r="1837" spans="6:40" x14ac:dyDescent="0.55000000000000004">
      <c r="F1837" s="1"/>
      <c r="G1837" s="1"/>
      <c r="H1837" s="2"/>
      <c r="X1837" s="1"/>
    </row>
    <row r="1838" spans="6:40" x14ac:dyDescent="0.55000000000000004">
      <c r="F1838" s="1"/>
      <c r="G1838" s="1"/>
      <c r="H1838" s="2"/>
      <c r="X1838" s="1"/>
      <c r="AF1838" s="4"/>
      <c r="AN1838" s="4"/>
    </row>
    <row r="1839" spans="6:40" x14ac:dyDescent="0.55000000000000004">
      <c r="F1839" s="1"/>
      <c r="G1839" s="1"/>
      <c r="H1839" s="2"/>
      <c r="X1839" s="1"/>
    </row>
    <row r="1840" spans="6:40" x14ac:dyDescent="0.55000000000000004">
      <c r="F1840" s="1"/>
      <c r="G1840" s="1"/>
      <c r="H1840" s="2"/>
      <c r="X1840" s="1"/>
    </row>
    <row r="1841" spans="6:42" x14ac:dyDescent="0.55000000000000004">
      <c r="F1841" s="1"/>
      <c r="G1841" s="1"/>
      <c r="H1841" s="2"/>
      <c r="X1841" s="1"/>
    </row>
    <row r="1842" spans="6:42" x14ac:dyDescent="0.55000000000000004">
      <c r="F1842" s="1"/>
      <c r="G1842" s="1"/>
      <c r="H1842" s="2"/>
      <c r="X1842" s="1"/>
    </row>
    <row r="1843" spans="6:42" x14ac:dyDescent="0.55000000000000004">
      <c r="F1843" s="1"/>
      <c r="G1843" s="1"/>
      <c r="H1843" s="2"/>
      <c r="X1843" s="1"/>
    </row>
    <row r="1844" spans="6:42" x14ac:dyDescent="0.55000000000000004">
      <c r="F1844" s="1"/>
      <c r="G1844" s="1"/>
      <c r="H1844" s="2"/>
      <c r="X1844" s="1"/>
    </row>
    <row r="1845" spans="6:42" x14ac:dyDescent="0.55000000000000004">
      <c r="F1845" s="1"/>
      <c r="G1845" s="1"/>
      <c r="H1845" s="2"/>
      <c r="X1845" s="1"/>
    </row>
    <row r="1846" spans="6:42" x14ac:dyDescent="0.55000000000000004">
      <c r="F1846" s="1"/>
      <c r="G1846" s="1"/>
      <c r="H1846" s="2"/>
      <c r="X1846" s="1"/>
    </row>
    <row r="1847" spans="6:42" x14ac:dyDescent="0.55000000000000004">
      <c r="F1847" s="1"/>
      <c r="G1847" s="1"/>
      <c r="H1847" s="2"/>
      <c r="X1847" s="1"/>
    </row>
    <row r="1848" spans="6:42" x14ac:dyDescent="0.55000000000000004">
      <c r="F1848" s="1"/>
      <c r="G1848" s="1"/>
      <c r="H1848" s="2"/>
      <c r="X1848" s="1"/>
    </row>
    <row r="1849" spans="6:42" x14ac:dyDescent="0.55000000000000004">
      <c r="F1849" s="1"/>
      <c r="G1849" s="1"/>
      <c r="H1849" s="2"/>
      <c r="X1849" s="1"/>
      <c r="AF1849" s="4"/>
      <c r="AN1849" s="4"/>
    </row>
    <row r="1850" spans="6:42" x14ac:dyDescent="0.55000000000000004">
      <c r="F1850" s="1"/>
      <c r="G1850" s="1"/>
      <c r="H1850" s="2"/>
      <c r="X1850" s="1"/>
    </row>
    <row r="1851" spans="6:42" x14ac:dyDescent="0.55000000000000004">
      <c r="F1851" s="1"/>
      <c r="G1851" s="1"/>
      <c r="H1851" s="2"/>
      <c r="X1851" s="1"/>
    </row>
    <row r="1852" spans="6:42" x14ac:dyDescent="0.55000000000000004">
      <c r="F1852" s="1"/>
      <c r="G1852" s="1"/>
      <c r="H1852" s="2"/>
      <c r="X1852" s="1"/>
    </row>
    <row r="1853" spans="6:42" x14ac:dyDescent="0.55000000000000004">
      <c r="F1853" s="1"/>
      <c r="G1853" s="1"/>
      <c r="H1853" s="2"/>
      <c r="X1853" s="1"/>
      <c r="AP1853" s="2"/>
    </row>
    <row r="1854" spans="6:42" x14ac:dyDescent="0.55000000000000004">
      <c r="F1854" s="1"/>
      <c r="G1854" s="1"/>
      <c r="H1854" s="2"/>
      <c r="X1854" s="1"/>
      <c r="AP1854" s="2"/>
    </row>
    <row r="1855" spans="6:42" x14ac:dyDescent="0.55000000000000004">
      <c r="F1855" s="1"/>
      <c r="G1855" s="1"/>
      <c r="H1855" s="2"/>
      <c r="X1855" s="1"/>
    </row>
    <row r="1856" spans="6:42" x14ac:dyDescent="0.55000000000000004">
      <c r="F1856" s="1"/>
      <c r="G1856" s="1"/>
      <c r="H1856" s="2"/>
      <c r="X1856" s="1"/>
    </row>
    <row r="1857" spans="6:40" x14ac:dyDescent="0.55000000000000004">
      <c r="F1857" s="1"/>
      <c r="G1857" s="1"/>
      <c r="H1857" s="2"/>
      <c r="X1857" s="1"/>
    </row>
    <row r="1858" spans="6:40" x14ac:dyDescent="0.55000000000000004">
      <c r="F1858" s="1"/>
      <c r="G1858" s="1"/>
      <c r="H1858" s="2"/>
      <c r="X1858" s="1"/>
    </row>
    <row r="1859" spans="6:40" x14ac:dyDescent="0.55000000000000004">
      <c r="F1859" s="1"/>
      <c r="G1859" s="1"/>
      <c r="H1859" s="2"/>
      <c r="X1859" s="1"/>
      <c r="AF1859" s="4"/>
      <c r="AN1859" s="4"/>
    </row>
    <row r="1860" spans="6:40" x14ac:dyDescent="0.55000000000000004">
      <c r="F1860" s="1"/>
      <c r="G1860" s="1"/>
      <c r="H1860" s="2"/>
      <c r="X1860" s="1"/>
    </row>
    <row r="1861" spans="6:40" x14ac:dyDescent="0.55000000000000004">
      <c r="F1861" s="1"/>
      <c r="G1861" s="1"/>
      <c r="H1861" s="2"/>
      <c r="X1861" s="1"/>
    </row>
    <row r="1862" spans="6:40" x14ac:dyDescent="0.55000000000000004">
      <c r="F1862" s="1"/>
      <c r="G1862" s="1"/>
      <c r="H1862" s="2"/>
      <c r="X1862" s="1"/>
    </row>
    <row r="1863" spans="6:40" x14ac:dyDescent="0.55000000000000004">
      <c r="F1863" s="1"/>
      <c r="G1863" s="1"/>
      <c r="H1863" s="2"/>
      <c r="X1863" s="1"/>
    </row>
    <row r="1864" spans="6:40" x14ac:dyDescent="0.55000000000000004">
      <c r="F1864" s="1"/>
      <c r="G1864" s="1"/>
      <c r="H1864" s="2"/>
      <c r="X1864" s="1"/>
    </row>
    <row r="1865" spans="6:40" x14ac:dyDescent="0.55000000000000004">
      <c r="F1865" s="1"/>
      <c r="G1865" s="1"/>
      <c r="H1865" s="2"/>
      <c r="X1865" s="1"/>
    </row>
    <row r="1866" spans="6:40" x14ac:dyDescent="0.55000000000000004">
      <c r="F1866" s="1"/>
      <c r="G1866" s="1"/>
      <c r="H1866" s="2"/>
      <c r="X1866" s="1"/>
    </row>
    <row r="1867" spans="6:40" x14ac:dyDescent="0.55000000000000004">
      <c r="F1867" s="1"/>
      <c r="G1867" s="1"/>
      <c r="H1867" s="2"/>
      <c r="X1867" s="1"/>
    </row>
    <row r="1868" spans="6:40" x14ac:dyDescent="0.55000000000000004">
      <c r="F1868" s="1"/>
      <c r="G1868" s="1"/>
      <c r="H1868" s="2"/>
      <c r="X1868" s="1"/>
    </row>
    <row r="1869" spans="6:40" x14ac:dyDescent="0.55000000000000004">
      <c r="F1869" s="1"/>
      <c r="G1869" s="1"/>
      <c r="H1869" s="2"/>
      <c r="X1869" s="1"/>
    </row>
    <row r="1870" spans="6:40" x14ac:dyDescent="0.55000000000000004">
      <c r="F1870" s="1"/>
      <c r="G1870" s="1"/>
      <c r="H1870" s="2"/>
      <c r="X1870" s="1"/>
    </row>
    <row r="1871" spans="6:40" x14ac:dyDescent="0.55000000000000004">
      <c r="F1871" s="1"/>
      <c r="G1871" s="1"/>
      <c r="H1871" s="2"/>
      <c r="X1871" s="1"/>
    </row>
    <row r="1872" spans="6:40" x14ac:dyDescent="0.55000000000000004">
      <c r="F1872" s="1"/>
      <c r="G1872" s="1"/>
      <c r="H1872" s="2"/>
      <c r="X1872" s="1"/>
    </row>
    <row r="1873" spans="6:24" x14ac:dyDescent="0.55000000000000004">
      <c r="F1873" s="1"/>
      <c r="G1873" s="1"/>
      <c r="H1873" s="2"/>
      <c r="X1873" s="1"/>
    </row>
    <row r="1874" spans="6:24" x14ac:dyDescent="0.55000000000000004">
      <c r="F1874" s="1"/>
      <c r="G1874" s="1"/>
      <c r="H1874" s="2"/>
      <c r="X1874" s="1"/>
    </row>
    <row r="1875" spans="6:24" x14ac:dyDescent="0.55000000000000004">
      <c r="F1875" s="1"/>
      <c r="G1875" s="1"/>
      <c r="H1875" s="2"/>
      <c r="X1875" s="1"/>
    </row>
    <row r="1876" spans="6:24" x14ac:dyDescent="0.55000000000000004">
      <c r="F1876" s="1"/>
      <c r="G1876" s="1"/>
      <c r="H1876" s="2"/>
      <c r="X1876" s="1"/>
    </row>
    <row r="1877" spans="6:24" x14ac:dyDescent="0.55000000000000004">
      <c r="F1877" s="1"/>
      <c r="G1877" s="1"/>
      <c r="H1877" s="2"/>
      <c r="X1877" s="1"/>
    </row>
    <row r="1878" spans="6:24" x14ac:dyDescent="0.55000000000000004">
      <c r="F1878" s="1"/>
      <c r="G1878" s="1"/>
      <c r="H1878" s="2"/>
      <c r="X1878" s="1"/>
    </row>
    <row r="1879" spans="6:24" x14ac:dyDescent="0.55000000000000004">
      <c r="F1879" s="1"/>
      <c r="G1879" s="1"/>
      <c r="H1879" s="2"/>
      <c r="X1879" s="1"/>
    </row>
    <row r="1880" spans="6:24" x14ac:dyDescent="0.55000000000000004">
      <c r="F1880" s="1"/>
      <c r="G1880" s="1"/>
      <c r="H1880" s="2"/>
      <c r="X1880" s="1"/>
    </row>
    <row r="1881" spans="6:24" x14ac:dyDescent="0.55000000000000004">
      <c r="F1881" s="1"/>
      <c r="G1881" s="1"/>
      <c r="H1881" s="2"/>
      <c r="X1881" s="1"/>
    </row>
    <row r="1882" spans="6:24" x14ac:dyDescent="0.55000000000000004">
      <c r="F1882" s="1"/>
      <c r="G1882" s="1"/>
      <c r="H1882" s="2"/>
      <c r="X1882" s="1"/>
    </row>
    <row r="1883" spans="6:24" x14ac:dyDescent="0.55000000000000004">
      <c r="F1883" s="1"/>
      <c r="G1883" s="1"/>
      <c r="H1883" s="2"/>
      <c r="X1883" s="1"/>
    </row>
    <row r="1884" spans="6:24" x14ac:dyDescent="0.55000000000000004">
      <c r="F1884" s="1"/>
      <c r="H1884" s="2"/>
    </row>
    <row r="1885" spans="6:24" x14ac:dyDescent="0.55000000000000004">
      <c r="F1885" s="1"/>
      <c r="G1885" s="1"/>
      <c r="H1885" s="2"/>
      <c r="X1885" s="1"/>
    </row>
    <row r="1886" spans="6:24" x14ac:dyDescent="0.55000000000000004">
      <c r="F1886" s="1"/>
      <c r="G1886" s="1"/>
      <c r="H1886" s="2"/>
      <c r="X1886" s="1"/>
    </row>
    <row r="1887" spans="6:24" x14ac:dyDescent="0.55000000000000004">
      <c r="F1887" s="1"/>
      <c r="G1887" s="1"/>
      <c r="H1887" s="2"/>
      <c r="X1887" s="1"/>
    </row>
    <row r="1888" spans="6:24" x14ac:dyDescent="0.55000000000000004">
      <c r="F1888" s="1"/>
      <c r="G1888" s="1"/>
      <c r="H1888" s="2"/>
      <c r="X1888" s="1"/>
    </row>
    <row r="1889" spans="6:40" x14ac:dyDescent="0.55000000000000004">
      <c r="F1889" s="1"/>
      <c r="G1889" s="1"/>
      <c r="H1889" s="2"/>
      <c r="X1889" s="1"/>
    </row>
    <row r="1890" spans="6:40" x14ac:dyDescent="0.55000000000000004">
      <c r="F1890" s="1"/>
      <c r="G1890" s="1"/>
      <c r="H1890" s="2"/>
      <c r="X1890" s="1"/>
    </row>
    <row r="1891" spans="6:40" x14ac:dyDescent="0.55000000000000004">
      <c r="F1891" s="1"/>
      <c r="G1891" s="1"/>
      <c r="H1891" s="2"/>
      <c r="X1891" s="1"/>
    </row>
    <row r="1892" spans="6:40" x14ac:dyDescent="0.55000000000000004">
      <c r="F1892" s="1"/>
      <c r="G1892" s="1"/>
      <c r="H1892" s="2"/>
      <c r="X1892" s="1"/>
      <c r="AF1892" s="4"/>
      <c r="AN1892" s="4"/>
    </row>
    <row r="1893" spans="6:40" x14ac:dyDescent="0.55000000000000004">
      <c r="F1893" s="1"/>
      <c r="G1893" s="1"/>
      <c r="H1893" s="2"/>
      <c r="X1893" s="1"/>
    </row>
    <row r="1894" spans="6:40" x14ac:dyDescent="0.55000000000000004">
      <c r="F1894" s="1"/>
      <c r="G1894" s="1"/>
      <c r="H1894" s="2"/>
      <c r="X1894" s="1"/>
    </row>
    <row r="1895" spans="6:40" x14ac:dyDescent="0.55000000000000004">
      <c r="F1895" s="1"/>
      <c r="G1895" s="1"/>
      <c r="H1895" s="2"/>
      <c r="X1895" s="1"/>
    </row>
    <row r="1896" spans="6:40" x14ac:dyDescent="0.55000000000000004">
      <c r="F1896" s="1"/>
      <c r="G1896" s="1"/>
      <c r="H1896" s="2"/>
      <c r="X1896" s="1"/>
    </row>
    <row r="1897" spans="6:40" x14ac:dyDescent="0.55000000000000004">
      <c r="F1897" s="1"/>
      <c r="G1897" s="1"/>
      <c r="H1897" s="2"/>
      <c r="X1897" s="1"/>
    </row>
    <row r="1898" spans="6:40" x14ac:dyDescent="0.55000000000000004">
      <c r="F1898" s="1"/>
      <c r="G1898" s="1"/>
      <c r="H1898" s="2"/>
      <c r="X1898" s="1"/>
    </row>
    <row r="1899" spans="6:40" x14ac:dyDescent="0.55000000000000004">
      <c r="F1899" s="1"/>
      <c r="G1899" s="1"/>
      <c r="H1899" s="2"/>
      <c r="X1899" s="1"/>
      <c r="AF1899" s="5"/>
      <c r="AN1899" s="5"/>
    </row>
    <row r="1900" spans="6:40" x14ac:dyDescent="0.55000000000000004">
      <c r="F1900" s="1"/>
      <c r="G1900" s="1"/>
      <c r="H1900" s="2"/>
      <c r="X1900" s="1"/>
    </row>
    <row r="1901" spans="6:40" x14ac:dyDescent="0.55000000000000004">
      <c r="F1901" s="1"/>
      <c r="G1901" s="1"/>
      <c r="H1901" s="2"/>
      <c r="X1901" s="1"/>
    </row>
    <row r="1902" spans="6:40" x14ac:dyDescent="0.55000000000000004">
      <c r="F1902" s="1"/>
      <c r="G1902" s="1"/>
      <c r="H1902" s="2"/>
      <c r="X1902" s="1"/>
    </row>
    <row r="1903" spans="6:40" x14ac:dyDescent="0.55000000000000004">
      <c r="F1903" s="1"/>
      <c r="G1903" s="1"/>
      <c r="H1903" s="2"/>
      <c r="X1903" s="1"/>
    </row>
    <row r="1904" spans="6:40" x14ac:dyDescent="0.55000000000000004">
      <c r="F1904" s="1"/>
      <c r="G1904" s="1"/>
      <c r="H1904" s="2"/>
      <c r="X1904" s="1"/>
    </row>
    <row r="1905" spans="6:42" x14ac:dyDescent="0.55000000000000004">
      <c r="F1905" s="1"/>
      <c r="G1905" s="1"/>
      <c r="H1905" s="2"/>
      <c r="X1905" s="1"/>
      <c r="AP1905" s="2"/>
    </row>
    <row r="1906" spans="6:42" x14ac:dyDescent="0.55000000000000004">
      <c r="F1906" s="1"/>
      <c r="G1906" s="1"/>
      <c r="H1906" s="2"/>
      <c r="X1906" s="1"/>
    </row>
    <row r="1907" spans="6:42" x14ac:dyDescent="0.55000000000000004">
      <c r="F1907" s="1"/>
      <c r="G1907" s="1"/>
      <c r="H1907" s="2"/>
      <c r="X1907" s="1"/>
    </row>
    <row r="1908" spans="6:42" x14ac:dyDescent="0.55000000000000004">
      <c r="F1908" s="1"/>
      <c r="G1908" s="1"/>
      <c r="H1908" s="2"/>
      <c r="X1908" s="1"/>
    </row>
    <row r="1909" spans="6:42" x14ac:dyDescent="0.55000000000000004">
      <c r="F1909" s="1"/>
      <c r="G1909" s="1"/>
      <c r="H1909" s="2"/>
      <c r="X1909" s="1"/>
    </row>
    <row r="1910" spans="6:42" x14ac:dyDescent="0.55000000000000004">
      <c r="F1910" s="1"/>
      <c r="G1910" s="1"/>
      <c r="H1910" s="2"/>
      <c r="X1910" s="1"/>
    </row>
    <row r="1911" spans="6:42" x14ac:dyDescent="0.55000000000000004">
      <c r="F1911" s="1"/>
      <c r="G1911" s="1"/>
      <c r="H1911" s="2"/>
      <c r="X1911" s="1"/>
    </row>
    <row r="1912" spans="6:42" x14ac:dyDescent="0.55000000000000004">
      <c r="F1912" s="1"/>
      <c r="G1912" s="1"/>
      <c r="H1912" s="2"/>
      <c r="X1912" s="1"/>
    </row>
    <row r="1913" spans="6:42" x14ac:dyDescent="0.55000000000000004">
      <c r="F1913" s="1"/>
      <c r="G1913" s="1"/>
      <c r="H1913" s="2"/>
      <c r="X1913" s="1"/>
    </row>
    <row r="1914" spans="6:42" x14ac:dyDescent="0.55000000000000004">
      <c r="F1914" s="1"/>
      <c r="G1914" s="1"/>
      <c r="H1914" s="2"/>
      <c r="X1914" s="1"/>
    </row>
    <row r="1915" spans="6:42" x14ac:dyDescent="0.55000000000000004">
      <c r="F1915" s="1"/>
      <c r="G1915" s="1"/>
      <c r="H1915" s="2"/>
      <c r="X1915" s="1"/>
      <c r="AF1915" s="4"/>
      <c r="AN1915" s="4"/>
    </row>
    <row r="1916" spans="6:42" x14ac:dyDescent="0.55000000000000004">
      <c r="F1916" s="1"/>
      <c r="G1916" s="1"/>
      <c r="H1916" s="2"/>
      <c r="X1916" s="1"/>
    </row>
    <row r="1917" spans="6:42" x14ac:dyDescent="0.55000000000000004">
      <c r="F1917" s="1"/>
      <c r="G1917" s="1"/>
      <c r="H1917" s="2"/>
      <c r="X1917" s="1"/>
    </row>
    <row r="1918" spans="6:42" x14ac:dyDescent="0.55000000000000004">
      <c r="F1918" s="1"/>
      <c r="G1918" s="1"/>
      <c r="H1918" s="2"/>
      <c r="X1918" s="1"/>
    </row>
    <row r="1919" spans="6:42" x14ac:dyDescent="0.55000000000000004">
      <c r="F1919" s="1"/>
      <c r="G1919" s="1"/>
      <c r="H1919" s="2"/>
      <c r="X1919" s="1"/>
    </row>
    <row r="1920" spans="6:42" x14ac:dyDescent="0.55000000000000004">
      <c r="F1920" s="1"/>
      <c r="G1920" s="1"/>
      <c r="H1920" s="2"/>
      <c r="X1920" s="1"/>
    </row>
    <row r="1921" spans="6:40" x14ac:dyDescent="0.55000000000000004">
      <c r="F1921" s="1"/>
      <c r="G1921" s="1"/>
      <c r="H1921" s="2"/>
      <c r="X1921" s="1"/>
    </row>
    <row r="1922" spans="6:40" x14ac:dyDescent="0.55000000000000004">
      <c r="F1922" s="1"/>
      <c r="G1922" s="1"/>
      <c r="H1922" s="2"/>
      <c r="X1922" s="1"/>
    </row>
    <row r="1923" spans="6:40" x14ac:dyDescent="0.55000000000000004">
      <c r="F1923" s="1"/>
      <c r="G1923" s="1"/>
      <c r="H1923" s="2"/>
      <c r="X1923" s="1"/>
    </row>
    <row r="1924" spans="6:40" x14ac:dyDescent="0.55000000000000004">
      <c r="F1924" s="1"/>
      <c r="G1924" s="1"/>
      <c r="H1924" s="2"/>
      <c r="X1924" s="1"/>
    </row>
    <row r="1925" spans="6:40" x14ac:dyDescent="0.55000000000000004">
      <c r="F1925" s="1"/>
      <c r="G1925" s="1"/>
      <c r="H1925" s="2"/>
      <c r="X1925" s="1"/>
    </row>
    <row r="1926" spans="6:40" x14ac:dyDescent="0.55000000000000004">
      <c r="F1926" s="1"/>
      <c r="G1926" s="1"/>
      <c r="H1926" s="2"/>
      <c r="X1926" s="1"/>
      <c r="AF1926" s="4"/>
      <c r="AN1926" s="4"/>
    </row>
    <row r="1927" spans="6:40" x14ac:dyDescent="0.55000000000000004">
      <c r="F1927" s="1"/>
      <c r="H1927" s="2"/>
    </row>
    <row r="1928" spans="6:40" x14ac:dyDescent="0.55000000000000004">
      <c r="F1928" s="1"/>
      <c r="G1928" s="1"/>
      <c r="H1928" s="2"/>
      <c r="X1928" s="1"/>
    </row>
    <row r="1929" spans="6:40" x14ac:dyDescent="0.55000000000000004">
      <c r="F1929" s="1"/>
      <c r="G1929" s="1"/>
      <c r="H1929" s="2"/>
      <c r="X1929" s="1"/>
      <c r="AF1929" s="4"/>
      <c r="AN1929" s="4"/>
    </row>
    <row r="1930" spans="6:40" x14ac:dyDescent="0.55000000000000004">
      <c r="F1930" s="1"/>
      <c r="G1930" s="1"/>
      <c r="H1930" s="2"/>
      <c r="X1930" s="1"/>
    </row>
    <row r="1931" spans="6:40" x14ac:dyDescent="0.55000000000000004">
      <c r="F1931" s="1"/>
      <c r="G1931" s="1"/>
      <c r="H1931" s="2"/>
      <c r="X1931" s="1"/>
    </row>
    <row r="1932" spans="6:40" x14ac:dyDescent="0.55000000000000004">
      <c r="F1932" s="1"/>
      <c r="G1932" s="1"/>
      <c r="H1932" s="2"/>
      <c r="X1932" s="1"/>
    </row>
    <row r="1933" spans="6:40" x14ac:dyDescent="0.55000000000000004">
      <c r="F1933" s="1"/>
      <c r="G1933" s="1"/>
      <c r="H1933" s="2"/>
      <c r="X1933" s="1"/>
    </row>
    <row r="1934" spans="6:40" x14ac:dyDescent="0.55000000000000004">
      <c r="F1934" s="1"/>
      <c r="G1934" s="1"/>
      <c r="H1934" s="2"/>
      <c r="X1934" s="1"/>
    </row>
    <row r="1935" spans="6:40" x14ac:dyDescent="0.55000000000000004">
      <c r="F1935" s="1"/>
      <c r="G1935" s="1"/>
      <c r="H1935" s="2"/>
      <c r="X1935" s="1"/>
    </row>
    <row r="1936" spans="6:40" x14ac:dyDescent="0.55000000000000004">
      <c r="F1936" s="1"/>
      <c r="G1936" s="1"/>
      <c r="H1936" s="2"/>
      <c r="X1936" s="1"/>
    </row>
    <row r="1937" spans="6:24" x14ac:dyDescent="0.55000000000000004">
      <c r="F1937" s="1"/>
      <c r="G1937" s="1"/>
      <c r="H1937" s="2"/>
      <c r="X1937" s="1"/>
    </row>
    <row r="1938" spans="6:24" x14ac:dyDescent="0.55000000000000004">
      <c r="F1938" s="1"/>
      <c r="G1938" s="1"/>
      <c r="H1938" s="2"/>
      <c r="X1938" s="1"/>
    </row>
    <row r="1939" spans="6:24" x14ac:dyDescent="0.55000000000000004">
      <c r="F1939" s="1"/>
      <c r="G1939" s="1"/>
      <c r="H1939" s="2"/>
      <c r="X1939" s="1"/>
    </row>
    <row r="1940" spans="6:24" x14ac:dyDescent="0.55000000000000004">
      <c r="F1940" s="1"/>
      <c r="G1940" s="1"/>
      <c r="H1940" s="2"/>
      <c r="X1940" s="1"/>
    </row>
    <row r="1941" spans="6:24" x14ac:dyDescent="0.55000000000000004">
      <c r="F1941" s="1"/>
      <c r="G1941" s="1"/>
      <c r="H1941" s="2"/>
      <c r="X1941" s="1"/>
    </row>
    <row r="1942" spans="6:24" x14ac:dyDescent="0.55000000000000004">
      <c r="F1942" s="1"/>
      <c r="G1942" s="1"/>
      <c r="H1942" s="2"/>
      <c r="X1942" s="1"/>
    </row>
    <row r="1943" spans="6:24" x14ac:dyDescent="0.55000000000000004">
      <c r="F1943" s="1"/>
      <c r="G1943" s="1"/>
      <c r="H1943" s="2"/>
      <c r="X1943" s="1"/>
    </row>
    <row r="1944" spans="6:24" x14ac:dyDescent="0.55000000000000004">
      <c r="F1944" s="1"/>
      <c r="G1944" s="1"/>
      <c r="H1944" s="2"/>
      <c r="X1944" s="1"/>
    </row>
    <row r="1945" spans="6:24" x14ac:dyDescent="0.55000000000000004">
      <c r="F1945" s="1"/>
      <c r="G1945" s="1"/>
      <c r="H1945" s="2"/>
      <c r="X1945" s="1"/>
    </row>
    <row r="1946" spans="6:24" x14ac:dyDescent="0.55000000000000004">
      <c r="F1946" s="1"/>
      <c r="G1946" s="1"/>
      <c r="H1946" s="2"/>
      <c r="X1946" s="1"/>
    </row>
    <row r="1947" spans="6:24" x14ac:dyDescent="0.55000000000000004">
      <c r="F1947" s="1"/>
      <c r="G1947" s="1"/>
      <c r="H1947" s="2"/>
      <c r="X1947" s="1"/>
    </row>
    <row r="1948" spans="6:24" x14ac:dyDescent="0.55000000000000004">
      <c r="F1948" s="1"/>
      <c r="G1948" s="1"/>
      <c r="H1948" s="2"/>
      <c r="X1948" s="1"/>
    </row>
    <row r="1949" spans="6:24" x14ac:dyDescent="0.55000000000000004">
      <c r="F1949" s="1"/>
      <c r="G1949" s="1"/>
      <c r="H1949" s="2"/>
      <c r="X1949" s="1"/>
    </row>
    <row r="1950" spans="6:24" x14ac:dyDescent="0.55000000000000004">
      <c r="F1950" s="1"/>
      <c r="G1950" s="1"/>
      <c r="H1950" s="2"/>
      <c r="X1950" s="1"/>
    </row>
    <row r="1951" spans="6:24" x14ac:dyDescent="0.55000000000000004">
      <c r="F1951" s="1"/>
      <c r="G1951" s="1"/>
      <c r="H1951" s="2"/>
      <c r="X1951" s="1"/>
    </row>
    <row r="1952" spans="6:24" x14ac:dyDescent="0.55000000000000004">
      <c r="F1952" s="1"/>
      <c r="G1952" s="1"/>
      <c r="H1952" s="2"/>
      <c r="X1952" s="1"/>
    </row>
    <row r="1953" spans="6:40" x14ac:dyDescent="0.55000000000000004">
      <c r="F1953" s="1"/>
      <c r="G1953" s="1"/>
      <c r="H1953" s="2"/>
      <c r="X1953" s="1"/>
    </row>
    <row r="1954" spans="6:40" x14ac:dyDescent="0.55000000000000004">
      <c r="F1954" s="1"/>
      <c r="G1954" s="1"/>
      <c r="H1954" s="2"/>
      <c r="X1954" s="1"/>
    </row>
    <row r="1955" spans="6:40" x14ac:dyDescent="0.55000000000000004">
      <c r="F1955" s="1"/>
      <c r="G1955" s="1"/>
      <c r="H1955" s="2"/>
      <c r="X1955" s="1"/>
    </row>
    <row r="1956" spans="6:40" x14ac:dyDescent="0.55000000000000004">
      <c r="F1956" s="1"/>
      <c r="G1956" s="1"/>
      <c r="H1956" s="2"/>
      <c r="X1956" s="1"/>
    </row>
    <row r="1957" spans="6:40" x14ac:dyDescent="0.55000000000000004">
      <c r="F1957" s="1"/>
      <c r="G1957" s="1"/>
      <c r="H1957" s="2"/>
      <c r="X1957" s="1"/>
    </row>
    <row r="1958" spans="6:40" x14ac:dyDescent="0.55000000000000004">
      <c r="F1958" s="1"/>
      <c r="G1958" s="1"/>
      <c r="H1958" s="2"/>
      <c r="X1958" s="1"/>
    </row>
    <row r="1959" spans="6:40" x14ac:dyDescent="0.55000000000000004">
      <c r="F1959" s="1"/>
      <c r="G1959" s="1"/>
      <c r="H1959" s="2"/>
      <c r="X1959" s="1"/>
    </row>
    <row r="1960" spans="6:40" x14ac:dyDescent="0.55000000000000004">
      <c r="F1960" s="1"/>
      <c r="G1960" s="1"/>
      <c r="H1960" s="2"/>
      <c r="X1960" s="1"/>
    </row>
    <row r="1961" spans="6:40" x14ac:dyDescent="0.55000000000000004">
      <c r="F1961" s="1"/>
      <c r="G1961" s="1"/>
      <c r="H1961" s="2"/>
      <c r="X1961" s="1"/>
      <c r="AF1961" s="4"/>
      <c r="AN1961" s="4"/>
    </row>
    <row r="1962" spans="6:40" x14ac:dyDescent="0.55000000000000004">
      <c r="F1962" s="1"/>
      <c r="G1962" s="1"/>
      <c r="H1962" s="2"/>
      <c r="X1962" s="1"/>
    </row>
    <row r="1963" spans="6:40" x14ac:dyDescent="0.55000000000000004">
      <c r="F1963" s="1"/>
      <c r="G1963" s="1"/>
      <c r="H1963" s="2"/>
      <c r="X1963" s="1"/>
    </row>
    <row r="1964" spans="6:40" x14ac:dyDescent="0.55000000000000004">
      <c r="F1964" s="1"/>
      <c r="G1964" s="1"/>
      <c r="H1964" s="2"/>
      <c r="X1964" s="1"/>
    </row>
    <row r="1965" spans="6:40" x14ac:dyDescent="0.55000000000000004">
      <c r="F1965" s="1"/>
      <c r="G1965" s="1"/>
      <c r="H1965" s="2"/>
      <c r="X1965" s="1"/>
    </row>
    <row r="1966" spans="6:40" x14ac:dyDescent="0.55000000000000004">
      <c r="F1966" s="1"/>
      <c r="G1966" s="1"/>
      <c r="H1966" s="2"/>
      <c r="X1966" s="1"/>
    </row>
    <row r="1967" spans="6:40" x14ac:dyDescent="0.55000000000000004">
      <c r="F1967" s="1"/>
      <c r="G1967" s="1"/>
      <c r="H1967" s="2"/>
      <c r="X1967" s="1"/>
    </row>
    <row r="1968" spans="6:40" x14ac:dyDescent="0.55000000000000004">
      <c r="F1968" s="1"/>
      <c r="G1968" s="1"/>
      <c r="H1968" s="2"/>
      <c r="X1968" s="1"/>
    </row>
    <row r="1969" spans="6:40" x14ac:dyDescent="0.55000000000000004">
      <c r="F1969" s="1"/>
      <c r="G1969" s="1"/>
      <c r="H1969" s="2"/>
      <c r="X1969" s="1"/>
    </row>
    <row r="1970" spans="6:40" x14ac:dyDescent="0.55000000000000004">
      <c r="F1970" s="1"/>
      <c r="G1970" s="1"/>
      <c r="H1970" s="2"/>
      <c r="X1970" s="1"/>
    </row>
    <row r="1971" spans="6:40" x14ac:dyDescent="0.55000000000000004">
      <c r="F1971" s="1"/>
      <c r="G1971" s="1"/>
      <c r="H1971" s="2"/>
      <c r="X1971" s="1"/>
    </row>
    <row r="1972" spans="6:40" x14ac:dyDescent="0.55000000000000004">
      <c r="F1972" s="1"/>
      <c r="G1972" s="1"/>
      <c r="H1972" s="2"/>
      <c r="X1972" s="1"/>
    </row>
    <row r="1973" spans="6:40" x14ac:dyDescent="0.55000000000000004">
      <c r="F1973" s="1"/>
      <c r="H1973" s="2"/>
    </row>
    <row r="1974" spans="6:40" x14ac:dyDescent="0.55000000000000004">
      <c r="F1974" s="1"/>
      <c r="G1974" s="1"/>
      <c r="H1974" s="2"/>
      <c r="X1974" s="1"/>
      <c r="AF1974" s="4"/>
      <c r="AN1974" s="4"/>
    </row>
    <row r="1975" spans="6:40" x14ac:dyDescent="0.55000000000000004">
      <c r="F1975" s="1"/>
      <c r="G1975" s="1"/>
      <c r="H1975" s="2"/>
      <c r="X1975" s="1"/>
    </row>
    <row r="1976" spans="6:40" x14ac:dyDescent="0.55000000000000004">
      <c r="F1976" s="1"/>
      <c r="G1976" s="1"/>
      <c r="H1976" s="2"/>
      <c r="X1976" s="1"/>
    </row>
    <row r="1977" spans="6:40" x14ac:dyDescent="0.55000000000000004">
      <c r="F1977" s="1"/>
      <c r="G1977" s="1"/>
      <c r="H1977" s="2"/>
      <c r="X1977" s="1"/>
    </row>
    <row r="1978" spans="6:40" x14ac:dyDescent="0.55000000000000004">
      <c r="F1978" s="1"/>
      <c r="G1978" s="1"/>
      <c r="H1978" s="2"/>
      <c r="X1978" s="1"/>
    </row>
    <row r="1979" spans="6:40" x14ac:dyDescent="0.55000000000000004">
      <c r="F1979" s="1"/>
      <c r="G1979" s="1"/>
      <c r="H1979" s="2"/>
      <c r="X1979" s="1"/>
    </row>
    <row r="1980" spans="6:40" x14ac:dyDescent="0.55000000000000004">
      <c r="F1980" s="1"/>
      <c r="G1980" s="1"/>
      <c r="H1980" s="2"/>
      <c r="X1980" s="1"/>
    </row>
    <row r="1981" spans="6:40" x14ac:dyDescent="0.55000000000000004">
      <c r="F1981" s="1"/>
      <c r="G1981" s="1"/>
      <c r="H1981" s="2"/>
      <c r="X1981" s="1"/>
    </row>
    <row r="1982" spans="6:40" x14ac:dyDescent="0.55000000000000004">
      <c r="F1982" s="1"/>
      <c r="G1982" s="1"/>
      <c r="H1982" s="2"/>
      <c r="X1982" s="1"/>
    </row>
    <row r="1983" spans="6:40" x14ac:dyDescent="0.55000000000000004">
      <c r="F1983" s="1"/>
      <c r="G1983" s="1"/>
      <c r="H1983" s="2"/>
      <c r="X1983" s="1"/>
    </row>
    <row r="1984" spans="6:40" x14ac:dyDescent="0.55000000000000004">
      <c r="F1984" s="1"/>
      <c r="G1984" s="1"/>
      <c r="H1984" s="2"/>
      <c r="X1984" s="1"/>
    </row>
    <row r="1985" spans="6:42" x14ac:dyDescent="0.55000000000000004">
      <c r="F1985" s="1"/>
      <c r="G1985" s="1"/>
      <c r="H1985" s="2"/>
      <c r="X1985" s="1"/>
    </row>
    <row r="1986" spans="6:42" x14ac:dyDescent="0.55000000000000004">
      <c r="F1986" s="1"/>
      <c r="G1986" s="1"/>
      <c r="H1986" s="2"/>
      <c r="X1986" s="1"/>
    </row>
    <row r="1987" spans="6:42" x14ac:dyDescent="0.55000000000000004">
      <c r="F1987" s="1"/>
      <c r="G1987" s="1"/>
      <c r="H1987" s="2"/>
      <c r="X1987" s="1"/>
    </row>
    <row r="1988" spans="6:42" x14ac:dyDescent="0.55000000000000004">
      <c r="F1988" s="1"/>
      <c r="G1988" s="1"/>
      <c r="H1988" s="2"/>
      <c r="X1988" s="1"/>
    </row>
    <row r="1989" spans="6:42" x14ac:dyDescent="0.55000000000000004">
      <c r="F1989" s="1"/>
      <c r="G1989" s="1"/>
      <c r="H1989" s="2"/>
      <c r="X1989" s="1"/>
      <c r="AF1989" s="4"/>
      <c r="AN1989" s="4"/>
    </row>
    <row r="1990" spans="6:42" x14ac:dyDescent="0.55000000000000004">
      <c r="F1990" s="1"/>
      <c r="G1990" s="1"/>
      <c r="H1990" s="2"/>
      <c r="X1990" s="1"/>
    </row>
    <row r="1991" spans="6:42" x14ac:dyDescent="0.55000000000000004">
      <c r="F1991" s="1"/>
      <c r="G1991" s="1"/>
      <c r="H1991" s="2"/>
      <c r="X1991" s="1"/>
      <c r="AP1991" s="2"/>
    </row>
    <row r="1992" spans="6:42" x14ac:dyDescent="0.55000000000000004">
      <c r="F1992" s="1"/>
      <c r="G1992" s="1"/>
      <c r="H1992" s="2"/>
      <c r="X1992" s="1"/>
    </row>
    <row r="1993" spans="6:42" x14ac:dyDescent="0.55000000000000004">
      <c r="F1993" s="1"/>
      <c r="G1993" s="1"/>
      <c r="H1993" s="2"/>
      <c r="X1993" s="1"/>
    </row>
    <row r="1994" spans="6:42" x14ac:dyDescent="0.55000000000000004">
      <c r="F1994" s="1"/>
      <c r="G1994" s="1"/>
      <c r="H1994" s="2"/>
      <c r="X1994" s="1"/>
    </row>
    <row r="1995" spans="6:42" x14ac:dyDescent="0.55000000000000004">
      <c r="F1995" s="1"/>
      <c r="G1995" s="1"/>
      <c r="H1995" s="2"/>
      <c r="X1995" s="1"/>
    </row>
    <row r="1996" spans="6:42" x14ac:dyDescent="0.55000000000000004">
      <c r="F1996" s="1"/>
      <c r="G1996" s="1"/>
      <c r="H1996" s="2"/>
      <c r="X1996" s="1"/>
    </row>
    <row r="1997" spans="6:42" x14ac:dyDescent="0.55000000000000004">
      <c r="F1997" s="1"/>
      <c r="G1997" s="1"/>
      <c r="H1997" s="2"/>
      <c r="X1997" s="1"/>
    </row>
    <row r="1998" spans="6:42" x14ac:dyDescent="0.55000000000000004">
      <c r="F1998" s="1"/>
      <c r="G1998" s="1"/>
      <c r="H1998" s="2"/>
      <c r="X1998" s="1"/>
    </row>
    <row r="1999" spans="6:42" x14ac:dyDescent="0.55000000000000004">
      <c r="F1999" s="1"/>
      <c r="G1999" s="1"/>
      <c r="H1999" s="2"/>
      <c r="X1999" s="1"/>
    </row>
    <row r="2000" spans="6:42" x14ac:dyDescent="0.55000000000000004">
      <c r="F2000" s="1"/>
      <c r="G2000" s="1"/>
      <c r="H2000" s="2"/>
      <c r="X2000" s="1"/>
      <c r="AP2000" s="2"/>
    </row>
    <row r="2001" spans="6:24" x14ac:dyDescent="0.55000000000000004">
      <c r="F2001" s="1"/>
      <c r="G2001" s="1"/>
      <c r="H2001" s="2"/>
      <c r="X2001" s="1"/>
    </row>
    <row r="2002" spans="6:24" x14ac:dyDescent="0.55000000000000004">
      <c r="F2002" s="1"/>
      <c r="G2002" s="1"/>
      <c r="H2002" s="2"/>
      <c r="X2002" s="1"/>
    </row>
    <row r="2003" spans="6:24" x14ac:dyDescent="0.55000000000000004">
      <c r="F2003" s="1"/>
      <c r="G2003" s="1"/>
      <c r="H2003" s="2"/>
      <c r="X2003" s="1"/>
    </row>
    <row r="2004" spans="6:24" x14ac:dyDescent="0.55000000000000004">
      <c r="F2004" s="1"/>
      <c r="G2004" s="1"/>
      <c r="H2004" s="2"/>
      <c r="X2004" s="1"/>
    </row>
    <row r="2005" spans="6:24" x14ac:dyDescent="0.55000000000000004">
      <c r="F2005" s="1"/>
      <c r="G2005" s="1"/>
      <c r="H2005" s="2"/>
      <c r="X2005" s="1"/>
    </row>
    <row r="2006" spans="6:24" x14ac:dyDescent="0.55000000000000004">
      <c r="F2006" s="1"/>
      <c r="G2006" s="1"/>
      <c r="H2006" s="2"/>
      <c r="X2006" s="1"/>
    </row>
    <row r="2007" spans="6:24" x14ac:dyDescent="0.55000000000000004">
      <c r="F2007" s="1"/>
      <c r="G2007" s="1"/>
      <c r="H2007" s="2"/>
      <c r="X2007" s="1"/>
    </row>
    <row r="2008" spans="6:24" x14ac:dyDescent="0.55000000000000004">
      <c r="F2008" s="1"/>
      <c r="G2008" s="1"/>
      <c r="H2008" s="2"/>
      <c r="X2008" s="1"/>
    </row>
    <row r="2009" spans="6:24" x14ac:dyDescent="0.55000000000000004">
      <c r="F2009" s="1"/>
      <c r="G2009" s="1"/>
      <c r="H2009" s="2"/>
      <c r="X2009" s="1"/>
    </row>
    <row r="2010" spans="6:24" x14ac:dyDescent="0.55000000000000004">
      <c r="F2010" s="1"/>
      <c r="G2010" s="1"/>
      <c r="H2010" s="2"/>
      <c r="X2010" s="1"/>
    </row>
    <row r="2011" spans="6:24" x14ac:dyDescent="0.55000000000000004">
      <c r="F2011" s="1"/>
      <c r="G2011" s="1"/>
      <c r="H2011" s="2"/>
      <c r="X2011" s="1"/>
    </row>
    <row r="2012" spans="6:24" x14ac:dyDescent="0.55000000000000004">
      <c r="F2012" s="1"/>
      <c r="G2012" s="1"/>
      <c r="H2012" s="2"/>
      <c r="X2012" s="1"/>
    </row>
    <row r="2013" spans="6:24" x14ac:dyDescent="0.55000000000000004">
      <c r="F2013" s="1"/>
      <c r="G2013" s="1"/>
      <c r="H2013" s="2"/>
      <c r="X2013" s="1"/>
    </row>
    <row r="2014" spans="6:24" x14ac:dyDescent="0.55000000000000004">
      <c r="F2014" s="1"/>
      <c r="H2014" s="2"/>
    </row>
    <row r="2015" spans="6:24" x14ac:dyDescent="0.55000000000000004">
      <c r="F2015" s="1"/>
      <c r="G2015" s="1"/>
      <c r="H2015" s="2"/>
      <c r="X2015" s="1"/>
    </row>
    <row r="2016" spans="6:24" x14ac:dyDescent="0.55000000000000004">
      <c r="F2016" s="1"/>
      <c r="G2016" s="1"/>
      <c r="H2016" s="2"/>
      <c r="X2016" s="1"/>
    </row>
    <row r="2017" spans="6:40" x14ac:dyDescent="0.55000000000000004">
      <c r="F2017" s="1"/>
      <c r="G2017" s="1"/>
      <c r="H2017" s="2"/>
      <c r="X2017" s="1"/>
    </row>
    <row r="2018" spans="6:40" x14ac:dyDescent="0.55000000000000004">
      <c r="F2018" s="1"/>
      <c r="G2018" s="1"/>
      <c r="H2018" s="2"/>
      <c r="X2018" s="1"/>
    </row>
    <row r="2019" spans="6:40" x14ac:dyDescent="0.55000000000000004">
      <c r="F2019" s="1"/>
      <c r="G2019" s="1"/>
      <c r="H2019" s="2"/>
      <c r="X2019" s="1"/>
    </row>
    <row r="2020" spans="6:40" x14ac:dyDescent="0.55000000000000004">
      <c r="F2020" s="1"/>
      <c r="G2020" s="1"/>
      <c r="H2020" s="2"/>
      <c r="X2020" s="1"/>
    </row>
    <row r="2021" spans="6:40" x14ac:dyDescent="0.55000000000000004">
      <c r="F2021" s="1"/>
      <c r="G2021" s="1"/>
      <c r="H2021" s="2"/>
      <c r="X2021" s="1"/>
    </row>
    <row r="2022" spans="6:40" x14ac:dyDescent="0.55000000000000004">
      <c r="F2022" s="1"/>
      <c r="G2022" s="1"/>
      <c r="H2022" s="2"/>
      <c r="X2022" s="1"/>
    </row>
    <row r="2023" spans="6:40" x14ac:dyDescent="0.55000000000000004">
      <c r="F2023" s="1"/>
      <c r="G2023" s="1"/>
      <c r="H2023" s="2"/>
      <c r="X2023" s="1"/>
    </row>
    <row r="2024" spans="6:40" x14ac:dyDescent="0.55000000000000004">
      <c r="F2024" s="1"/>
      <c r="G2024" s="1"/>
      <c r="H2024" s="2"/>
      <c r="X2024" s="1"/>
    </row>
    <row r="2025" spans="6:40" x14ac:dyDescent="0.55000000000000004">
      <c r="F2025" s="1"/>
      <c r="G2025" s="1"/>
      <c r="H2025" s="2"/>
      <c r="X2025" s="1"/>
      <c r="AF2025" s="4"/>
      <c r="AN2025" s="4"/>
    </row>
    <row r="2026" spans="6:40" x14ac:dyDescent="0.55000000000000004">
      <c r="F2026" s="1"/>
      <c r="G2026" s="1"/>
      <c r="H2026" s="2"/>
      <c r="X2026" s="1"/>
    </row>
    <row r="2027" spans="6:40" x14ac:dyDescent="0.55000000000000004">
      <c r="F2027" s="1"/>
      <c r="G2027" s="1"/>
      <c r="H2027" s="2"/>
      <c r="X2027" s="1"/>
    </row>
    <row r="2028" spans="6:40" x14ac:dyDescent="0.55000000000000004">
      <c r="F2028" s="1"/>
      <c r="G2028" s="1"/>
      <c r="H2028" s="2"/>
      <c r="X2028" s="1"/>
    </row>
    <row r="2029" spans="6:40" x14ac:dyDescent="0.55000000000000004">
      <c r="F2029" s="1"/>
      <c r="G2029" s="1"/>
      <c r="H2029" s="2"/>
      <c r="X2029" s="1"/>
    </row>
    <row r="2030" spans="6:40" x14ac:dyDescent="0.55000000000000004">
      <c r="F2030" s="1"/>
      <c r="G2030" s="1"/>
      <c r="H2030" s="2"/>
      <c r="X2030" s="1"/>
    </row>
    <row r="2031" spans="6:40" x14ac:dyDescent="0.55000000000000004">
      <c r="F2031" s="1"/>
      <c r="G2031" s="1"/>
      <c r="H2031" s="2"/>
      <c r="X2031" s="1"/>
    </row>
    <row r="2032" spans="6:40" x14ac:dyDescent="0.55000000000000004">
      <c r="F2032" s="1"/>
      <c r="G2032" s="1"/>
      <c r="H2032" s="2"/>
      <c r="X2032" s="1"/>
    </row>
    <row r="2033" spans="6:42" x14ac:dyDescent="0.55000000000000004">
      <c r="F2033" s="1"/>
      <c r="G2033" s="1"/>
      <c r="H2033" s="2"/>
      <c r="X2033" s="1"/>
    </row>
    <row r="2034" spans="6:42" x14ac:dyDescent="0.55000000000000004">
      <c r="F2034" s="1"/>
      <c r="G2034" s="1"/>
      <c r="H2034" s="2"/>
      <c r="X2034" s="1"/>
    </row>
    <row r="2035" spans="6:42" x14ac:dyDescent="0.55000000000000004">
      <c r="F2035" s="1"/>
      <c r="G2035" s="1"/>
      <c r="H2035" s="2"/>
      <c r="X2035" s="1"/>
    </row>
    <row r="2036" spans="6:42" x14ac:dyDescent="0.55000000000000004">
      <c r="F2036" s="1"/>
      <c r="G2036" s="1"/>
      <c r="H2036" s="2"/>
      <c r="X2036" s="1"/>
    </row>
    <row r="2037" spans="6:42" x14ac:dyDescent="0.55000000000000004">
      <c r="F2037" s="1"/>
      <c r="G2037" s="1"/>
      <c r="H2037" s="2"/>
      <c r="X2037" s="1"/>
    </row>
    <row r="2038" spans="6:42" x14ac:dyDescent="0.55000000000000004">
      <c r="F2038" s="1"/>
      <c r="G2038" s="1"/>
      <c r="H2038" s="2"/>
      <c r="X2038" s="1"/>
    </row>
    <row r="2039" spans="6:42" x14ac:dyDescent="0.55000000000000004">
      <c r="F2039" s="1"/>
      <c r="G2039" s="1"/>
      <c r="H2039" s="2"/>
      <c r="X2039" s="1"/>
    </row>
    <row r="2040" spans="6:42" x14ac:dyDescent="0.55000000000000004">
      <c r="F2040" s="1"/>
      <c r="G2040" s="1"/>
      <c r="H2040" s="2"/>
      <c r="X2040" s="1"/>
    </row>
    <row r="2041" spans="6:42" x14ac:dyDescent="0.55000000000000004">
      <c r="F2041" s="1"/>
      <c r="G2041" s="1"/>
      <c r="H2041" s="2"/>
      <c r="X2041" s="1"/>
    </row>
    <row r="2042" spans="6:42" x14ac:dyDescent="0.55000000000000004">
      <c r="F2042" s="1"/>
      <c r="G2042" s="1"/>
      <c r="H2042" s="2"/>
      <c r="X2042" s="1"/>
      <c r="AP2042" s="2"/>
    </row>
    <row r="2043" spans="6:42" x14ac:dyDescent="0.55000000000000004">
      <c r="F2043" s="1"/>
      <c r="G2043" s="1"/>
      <c r="H2043" s="2"/>
      <c r="X2043" s="1"/>
      <c r="AF2043" s="4"/>
      <c r="AN2043" s="4"/>
    </row>
    <row r="2044" spans="6:42" x14ac:dyDescent="0.55000000000000004">
      <c r="F2044" s="1"/>
      <c r="G2044" s="1"/>
      <c r="H2044" s="2"/>
      <c r="X2044" s="1"/>
    </row>
    <row r="2045" spans="6:42" x14ac:dyDescent="0.55000000000000004">
      <c r="F2045" s="1"/>
      <c r="G2045" s="1"/>
      <c r="H2045" s="2"/>
      <c r="X2045" s="1"/>
      <c r="AP2045" s="2"/>
    </row>
    <row r="2046" spans="6:42" x14ac:dyDescent="0.55000000000000004">
      <c r="F2046" s="1"/>
      <c r="G2046" s="1"/>
      <c r="H2046" s="2"/>
      <c r="X2046" s="1"/>
    </row>
    <row r="2047" spans="6:42" x14ac:dyDescent="0.55000000000000004">
      <c r="F2047" s="1"/>
      <c r="G2047" s="1"/>
      <c r="H2047" s="2"/>
      <c r="X2047" s="1"/>
    </row>
    <row r="2048" spans="6:42" x14ac:dyDescent="0.55000000000000004">
      <c r="F2048" s="1"/>
      <c r="G2048" s="1"/>
      <c r="H2048" s="2"/>
      <c r="X2048" s="1"/>
    </row>
    <row r="2049" spans="6:40" x14ac:dyDescent="0.55000000000000004">
      <c r="F2049" s="1"/>
      <c r="G2049" s="1"/>
      <c r="H2049" s="2"/>
      <c r="X2049" s="1"/>
    </row>
    <row r="2050" spans="6:40" x14ac:dyDescent="0.55000000000000004">
      <c r="F2050" s="1"/>
      <c r="G2050" s="1"/>
      <c r="H2050" s="2"/>
      <c r="X2050" s="1"/>
    </row>
    <row r="2051" spans="6:40" x14ac:dyDescent="0.55000000000000004">
      <c r="F2051" s="1"/>
      <c r="G2051" s="1"/>
      <c r="H2051" s="2"/>
      <c r="X2051" s="1"/>
    </row>
    <row r="2052" spans="6:40" x14ac:dyDescent="0.55000000000000004">
      <c r="F2052" s="1"/>
      <c r="G2052" s="1"/>
      <c r="H2052" s="2"/>
      <c r="X2052" s="1"/>
    </row>
    <row r="2053" spans="6:40" x14ac:dyDescent="0.55000000000000004">
      <c r="F2053" s="1"/>
      <c r="G2053" s="1"/>
      <c r="H2053" s="2"/>
      <c r="X2053" s="1"/>
      <c r="AF2053" s="4"/>
      <c r="AN2053" s="4"/>
    </row>
    <row r="2054" spans="6:40" x14ac:dyDescent="0.55000000000000004">
      <c r="F2054" s="1"/>
      <c r="G2054" s="1"/>
      <c r="H2054" s="2"/>
      <c r="X2054" s="1"/>
    </row>
    <row r="2055" spans="6:40" x14ac:dyDescent="0.55000000000000004">
      <c r="F2055" s="1"/>
      <c r="G2055" s="1"/>
      <c r="H2055" s="2"/>
      <c r="X2055" s="1"/>
    </row>
    <row r="2056" spans="6:40" x14ac:dyDescent="0.55000000000000004">
      <c r="F2056" s="1"/>
      <c r="G2056" s="1"/>
      <c r="H2056" s="2"/>
      <c r="X2056" s="1"/>
    </row>
    <row r="2057" spans="6:40" x14ac:dyDescent="0.55000000000000004">
      <c r="F2057" s="1"/>
      <c r="G2057" s="1"/>
      <c r="H2057" s="2"/>
      <c r="X2057" s="1"/>
    </row>
    <row r="2058" spans="6:40" x14ac:dyDescent="0.55000000000000004">
      <c r="F2058" s="1"/>
      <c r="G2058" s="1"/>
      <c r="H2058" s="2"/>
      <c r="X2058" s="1"/>
    </row>
    <row r="2059" spans="6:40" x14ac:dyDescent="0.55000000000000004">
      <c r="F2059" s="1"/>
      <c r="G2059" s="1"/>
      <c r="H2059" s="2"/>
      <c r="X2059" s="1"/>
    </row>
    <row r="2060" spans="6:40" x14ac:dyDescent="0.55000000000000004">
      <c r="F2060" s="1"/>
      <c r="G2060" s="1"/>
      <c r="H2060" s="2"/>
      <c r="X2060" s="1"/>
    </row>
    <row r="2061" spans="6:40" x14ac:dyDescent="0.55000000000000004">
      <c r="F2061" s="1"/>
      <c r="G2061" s="1"/>
      <c r="H2061" s="2"/>
      <c r="X2061" s="1"/>
    </row>
    <row r="2062" spans="6:40" x14ac:dyDescent="0.55000000000000004">
      <c r="F2062" s="1"/>
      <c r="G2062" s="1"/>
      <c r="H2062" s="2"/>
      <c r="X2062" s="1"/>
    </row>
    <row r="2063" spans="6:40" x14ac:dyDescent="0.55000000000000004">
      <c r="F2063" s="1"/>
      <c r="G2063" s="1"/>
      <c r="H2063" s="2"/>
      <c r="X2063" s="1"/>
    </row>
    <row r="2064" spans="6:40" x14ac:dyDescent="0.55000000000000004">
      <c r="F2064" s="1"/>
      <c r="G2064" s="1"/>
      <c r="H2064" s="2"/>
      <c r="X2064" s="1"/>
    </row>
    <row r="2065" spans="6:24" x14ac:dyDescent="0.55000000000000004">
      <c r="F2065" s="1"/>
      <c r="G2065" s="1"/>
      <c r="H2065" s="2"/>
      <c r="X2065" s="1"/>
    </row>
    <row r="2066" spans="6:24" x14ac:dyDescent="0.55000000000000004">
      <c r="F2066" s="1"/>
      <c r="G2066" s="1"/>
      <c r="H2066" s="2"/>
      <c r="X2066" s="1"/>
    </row>
    <row r="2067" spans="6:24" x14ac:dyDescent="0.55000000000000004">
      <c r="F2067" s="1"/>
      <c r="G2067" s="1"/>
      <c r="H2067" s="2"/>
      <c r="X2067" s="1"/>
    </row>
    <row r="2068" spans="6:24" x14ac:dyDescent="0.55000000000000004">
      <c r="F2068" s="1"/>
      <c r="G2068" s="1"/>
      <c r="H2068" s="2"/>
      <c r="X2068" s="1"/>
    </row>
    <row r="2069" spans="6:24" x14ac:dyDescent="0.55000000000000004">
      <c r="F2069" s="1"/>
      <c r="G2069" s="1"/>
      <c r="H2069" s="2"/>
      <c r="X2069" s="1"/>
    </row>
    <row r="2070" spans="6:24" x14ac:dyDescent="0.55000000000000004">
      <c r="F2070" s="1"/>
      <c r="G2070" s="1"/>
      <c r="H2070" s="2"/>
      <c r="X2070" s="1"/>
    </row>
    <row r="2071" spans="6:24" x14ac:dyDescent="0.55000000000000004">
      <c r="F2071" s="1"/>
      <c r="G2071" s="1"/>
      <c r="H2071" s="2"/>
      <c r="X2071" s="1"/>
    </row>
    <row r="2072" spans="6:24" x14ac:dyDescent="0.55000000000000004">
      <c r="F2072" s="1"/>
      <c r="G2072" s="1"/>
      <c r="H2072" s="2"/>
      <c r="X2072" s="1"/>
    </row>
    <row r="2073" spans="6:24" x14ac:dyDescent="0.55000000000000004">
      <c r="F2073" s="1"/>
      <c r="G2073" s="1"/>
      <c r="H2073" s="2"/>
      <c r="X2073" s="1"/>
    </row>
    <row r="2074" spans="6:24" x14ac:dyDescent="0.55000000000000004">
      <c r="F2074" s="1"/>
      <c r="G2074" s="1"/>
      <c r="H2074" s="2"/>
      <c r="X2074" s="1"/>
    </row>
    <row r="2075" spans="6:24" x14ac:dyDescent="0.55000000000000004">
      <c r="F2075" s="1"/>
      <c r="G2075" s="1"/>
      <c r="H2075" s="2"/>
      <c r="X2075" s="1"/>
    </row>
    <row r="2076" spans="6:24" x14ac:dyDescent="0.55000000000000004">
      <c r="F2076" s="1"/>
      <c r="G2076" s="1"/>
      <c r="H2076" s="2"/>
      <c r="X2076" s="1"/>
    </row>
    <row r="2077" spans="6:24" x14ac:dyDescent="0.55000000000000004">
      <c r="F2077" s="1"/>
      <c r="G2077" s="1"/>
      <c r="H2077" s="2"/>
      <c r="X2077" s="1"/>
    </row>
    <row r="2078" spans="6:24" x14ac:dyDescent="0.55000000000000004">
      <c r="F2078" s="1"/>
      <c r="G2078" s="1"/>
      <c r="H2078" s="2"/>
      <c r="X2078" s="1"/>
    </row>
    <row r="2079" spans="6:24" x14ac:dyDescent="0.55000000000000004">
      <c r="F2079" s="1"/>
      <c r="G2079" s="1"/>
      <c r="H2079" s="2"/>
      <c r="X2079" s="1"/>
    </row>
    <row r="2080" spans="6:24" x14ac:dyDescent="0.55000000000000004">
      <c r="F2080" s="1"/>
      <c r="G2080" s="1"/>
      <c r="H2080" s="2"/>
      <c r="X2080" s="1"/>
    </row>
    <row r="2081" spans="6:40" x14ac:dyDescent="0.55000000000000004">
      <c r="F2081" s="1"/>
      <c r="G2081" s="1"/>
      <c r="H2081" s="2"/>
      <c r="X2081" s="1"/>
    </row>
    <row r="2082" spans="6:40" x14ac:dyDescent="0.55000000000000004">
      <c r="F2082" s="1"/>
      <c r="G2082" s="1"/>
      <c r="H2082" s="2"/>
      <c r="X2082" s="1"/>
      <c r="AF2082" s="4"/>
      <c r="AN2082" s="4"/>
    </row>
    <row r="2083" spans="6:40" x14ac:dyDescent="0.55000000000000004">
      <c r="F2083" s="1"/>
      <c r="G2083" s="1"/>
      <c r="H2083" s="2"/>
      <c r="X2083" s="1"/>
    </row>
    <row r="2084" spans="6:40" x14ac:dyDescent="0.55000000000000004">
      <c r="F2084" s="1"/>
      <c r="G2084" s="1"/>
      <c r="H2084" s="2"/>
      <c r="X2084" s="1"/>
    </row>
    <row r="2085" spans="6:40" x14ac:dyDescent="0.55000000000000004">
      <c r="F2085" s="1"/>
      <c r="G2085" s="1"/>
      <c r="H2085" s="2"/>
      <c r="X2085" s="1"/>
    </row>
    <row r="2086" spans="6:40" x14ac:dyDescent="0.55000000000000004">
      <c r="F2086" s="1"/>
      <c r="G2086" s="1"/>
      <c r="H2086" s="2"/>
      <c r="X2086" s="1"/>
    </row>
    <row r="2087" spans="6:40" x14ac:dyDescent="0.55000000000000004">
      <c r="F2087" s="1"/>
      <c r="G2087" s="1"/>
      <c r="H2087" s="2"/>
      <c r="X2087" s="1"/>
    </row>
    <row r="2088" spans="6:40" x14ac:dyDescent="0.55000000000000004">
      <c r="F2088" s="1"/>
      <c r="G2088" s="1"/>
      <c r="H2088" s="2"/>
      <c r="X2088" s="1"/>
    </row>
    <row r="2089" spans="6:40" x14ac:dyDescent="0.55000000000000004">
      <c r="F2089" s="1"/>
      <c r="G2089" s="1"/>
      <c r="H2089" s="2"/>
      <c r="X2089" s="1"/>
    </row>
    <row r="2090" spans="6:40" x14ac:dyDescent="0.55000000000000004">
      <c r="F2090" s="1"/>
      <c r="G2090" s="1"/>
      <c r="H2090" s="2"/>
      <c r="X2090" s="1"/>
    </row>
    <row r="2091" spans="6:40" x14ac:dyDescent="0.55000000000000004">
      <c r="F2091" s="1"/>
      <c r="G2091" s="1"/>
      <c r="H2091" s="2"/>
      <c r="X2091" s="1"/>
    </row>
    <row r="2092" spans="6:40" x14ac:dyDescent="0.55000000000000004">
      <c r="F2092" s="1"/>
      <c r="G2092" s="1"/>
      <c r="H2092" s="2"/>
      <c r="X2092" s="1"/>
    </row>
    <row r="2093" spans="6:40" x14ac:dyDescent="0.55000000000000004">
      <c r="F2093" s="1"/>
      <c r="G2093" s="1"/>
      <c r="H2093" s="2"/>
      <c r="X2093" s="1"/>
    </row>
    <row r="2094" spans="6:40" x14ac:dyDescent="0.55000000000000004">
      <c r="F2094" s="1"/>
      <c r="G2094" s="1"/>
      <c r="H2094" s="2"/>
      <c r="X2094" s="1"/>
      <c r="AF2094" s="4"/>
      <c r="AN2094" s="4"/>
    </row>
    <row r="2095" spans="6:40" x14ac:dyDescent="0.55000000000000004">
      <c r="F2095" s="1"/>
      <c r="G2095" s="1"/>
      <c r="H2095" s="2"/>
      <c r="X2095" s="1"/>
    </row>
    <row r="2096" spans="6:40" x14ac:dyDescent="0.55000000000000004">
      <c r="F2096" s="1"/>
      <c r="G2096" s="1"/>
      <c r="H2096" s="2"/>
      <c r="X2096" s="1"/>
    </row>
    <row r="2097" spans="6:40" x14ac:dyDescent="0.55000000000000004">
      <c r="F2097" s="1"/>
      <c r="G2097" s="1"/>
      <c r="H2097" s="2"/>
      <c r="X2097" s="1"/>
    </row>
    <row r="2098" spans="6:40" x14ac:dyDescent="0.55000000000000004">
      <c r="F2098" s="1"/>
      <c r="G2098" s="1"/>
      <c r="H2098" s="2"/>
      <c r="X2098" s="1"/>
    </row>
    <row r="2099" spans="6:40" x14ac:dyDescent="0.55000000000000004">
      <c r="F2099" s="1"/>
      <c r="G2099" s="1"/>
      <c r="H2099" s="2"/>
      <c r="X2099" s="1"/>
    </row>
    <row r="2100" spans="6:40" x14ac:dyDescent="0.55000000000000004">
      <c r="F2100" s="1"/>
      <c r="G2100" s="1"/>
      <c r="H2100" s="2"/>
      <c r="X2100" s="1"/>
    </row>
    <row r="2101" spans="6:40" x14ac:dyDescent="0.55000000000000004">
      <c r="F2101" s="1"/>
      <c r="G2101" s="1"/>
      <c r="H2101" s="2"/>
      <c r="X2101" s="1"/>
    </row>
    <row r="2102" spans="6:40" x14ac:dyDescent="0.55000000000000004">
      <c r="F2102" s="1"/>
      <c r="G2102" s="1"/>
      <c r="H2102" s="2"/>
      <c r="X2102" s="1"/>
      <c r="AF2102" s="4"/>
      <c r="AN2102" s="4"/>
    </row>
    <row r="2103" spans="6:40" x14ac:dyDescent="0.55000000000000004">
      <c r="F2103" s="1"/>
      <c r="G2103" s="1"/>
      <c r="H2103" s="2"/>
      <c r="X2103" s="1"/>
    </row>
    <row r="2104" spans="6:40" x14ac:dyDescent="0.55000000000000004">
      <c r="F2104" s="1"/>
      <c r="G2104" s="1"/>
      <c r="H2104" s="2"/>
      <c r="X2104" s="1"/>
    </row>
    <row r="2105" spans="6:40" x14ac:dyDescent="0.55000000000000004">
      <c r="F2105" s="1"/>
      <c r="G2105" s="1"/>
      <c r="H2105" s="2"/>
      <c r="X2105" s="1"/>
    </row>
    <row r="2106" spans="6:40" x14ac:dyDescent="0.55000000000000004">
      <c r="F2106" s="1"/>
      <c r="G2106" s="1"/>
      <c r="H2106" s="2"/>
      <c r="X2106" s="1"/>
    </row>
    <row r="2107" spans="6:40" x14ac:dyDescent="0.55000000000000004">
      <c r="F2107" s="1"/>
      <c r="G2107" s="1"/>
      <c r="H2107" s="2"/>
      <c r="X2107" s="1"/>
    </row>
    <row r="2108" spans="6:40" x14ac:dyDescent="0.55000000000000004">
      <c r="F2108" s="1"/>
      <c r="G2108" s="1"/>
      <c r="H2108" s="2"/>
      <c r="X2108" s="1"/>
    </row>
    <row r="2109" spans="6:40" x14ac:dyDescent="0.55000000000000004">
      <c r="F2109" s="1"/>
      <c r="G2109" s="1"/>
      <c r="H2109" s="2"/>
      <c r="X2109" s="1"/>
    </row>
    <row r="2110" spans="6:40" x14ac:dyDescent="0.55000000000000004">
      <c r="F2110" s="1"/>
      <c r="G2110" s="1"/>
      <c r="H2110" s="2"/>
      <c r="X2110" s="1"/>
    </row>
    <row r="2111" spans="6:40" x14ac:dyDescent="0.55000000000000004">
      <c r="F2111" s="1"/>
      <c r="G2111" s="1"/>
      <c r="H2111" s="2"/>
      <c r="X2111" s="1"/>
    </row>
    <row r="2112" spans="6:40" x14ac:dyDescent="0.55000000000000004">
      <c r="F2112" s="1"/>
      <c r="G2112" s="1"/>
      <c r="H2112" s="2"/>
      <c r="X2112" s="1"/>
    </row>
    <row r="2113" spans="6:42" x14ac:dyDescent="0.55000000000000004">
      <c r="F2113" s="1"/>
      <c r="G2113" s="1"/>
      <c r="H2113" s="2"/>
      <c r="X2113" s="1"/>
    </row>
    <row r="2114" spans="6:42" x14ac:dyDescent="0.55000000000000004">
      <c r="F2114" s="1"/>
      <c r="G2114" s="1"/>
      <c r="H2114" s="2"/>
      <c r="X2114" s="1"/>
    </row>
    <row r="2115" spans="6:42" x14ac:dyDescent="0.55000000000000004">
      <c r="F2115" s="1"/>
      <c r="G2115" s="1"/>
      <c r="H2115" s="2"/>
      <c r="X2115" s="1"/>
    </row>
    <row r="2116" spans="6:42" x14ac:dyDescent="0.55000000000000004">
      <c r="F2116" s="1"/>
      <c r="G2116" s="1"/>
      <c r="H2116" s="2"/>
      <c r="X2116" s="1"/>
      <c r="AP2116" s="2"/>
    </row>
    <row r="2117" spans="6:42" x14ac:dyDescent="0.55000000000000004">
      <c r="F2117" s="1"/>
      <c r="G2117" s="1"/>
      <c r="H2117" s="2"/>
      <c r="X2117" s="1"/>
    </row>
    <row r="2118" spans="6:42" x14ac:dyDescent="0.55000000000000004">
      <c r="F2118" s="1"/>
      <c r="G2118" s="1"/>
      <c r="H2118" s="2"/>
      <c r="X2118" s="1"/>
    </row>
    <row r="2119" spans="6:42" x14ac:dyDescent="0.55000000000000004">
      <c r="F2119" s="1"/>
      <c r="G2119" s="1"/>
      <c r="H2119" s="2"/>
      <c r="X2119" s="1"/>
    </row>
    <row r="2120" spans="6:42" x14ac:dyDescent="0.55000000000000004">
      <c r="F2120" s="1"/>
      <c r="G2120" s="1"/>
      <c r="H2120" s="2"/>
      <c r="X2120" s="1"/>
    </row>
    <row r="2121" spans="6:42" x14ac:dyDescent="0.55000000000000004">
      <c r="F2121" s="1"/>
      <c r="G2121" s="1"/>
      <c r="H2121" s="2"/>
      <c r="X2121" s="1"/>
    </row>
    <row r="2122" spans="6:42" x14ac:dyDescent="0.55000000000000004">
      <c r="F2122" s="1"/>
      <c r="G2122" s="1"/>
      <c r="H2122" s="2"/>
      <c r="X2122" s="1"/>
    </row>
    <row r="2123" spans="6:42" x14ac:dyDescent="0.55000000000000004">
      <c r="F2123" s="1"/>
      <c r="G2123" s="1"/>
      <c r="H2123" s="2"/>
      <c r="X2123" s="1"/>
    </row>
    <row r="2124" spans="6:42" x14ac:dyDescent="0.55000000000000004">
      <c r="F2124" s="1"/>
      <c r="G2124" s="1"/>
      <c r="H2124" s="2"/>
      <c r="X2124" s="1"/>
      <c r="AF2124" s="4"/>
      <c r="AN2124" s="4"/>
    </row>
    <row r="2125" spans="6:42" x14ac:dyDescent="0.55000000000000004">
      <c r="F2125" s="1"/>
      <c r="G2125" s="1"/>
      <c r="H2125" s="2"/>
      <c r="X2125" s="1"/>
    </row>
    <row r="2126" spans="6:42" x14ac:dyDescent="0.55000000000000004">
      <c r="F2126" s="1"/>
      <c r="G2126" s="1"/>
      <c r="H2126" s="2"/>
      <c r="X2126" s="1"/>
    </row>
    <row r="2127" spans="6:42" x14ac:dyDescent="0.55000000000000004">
      <c r="F2127" s="1"/>
      <c r="G2127" s="1"/>
      <c r="H2127" s="2"/>
      <c r="X2127" s="1"/>
      <c r="AF2127" s="4"/>
      <c r="AN2127" s="4"/>
    </row>
    <row r="2128" spans="6:42" x14ac:dyDescent="0.55000000000000004">
      <c r="F2128" s="1"/>
      <c r="G2128" s="1"/>
      <c r="H2128" s="2"/>
      <c r="X2128" s="1"/>
    </row>
    <row r="2129" spans="6:40" x14ac:dyDescent="0.55000000000000004">
      <c r="F2129" s="1"/>
      <c r="G2129" s="1"/>
      <c r="H2129" s="2"/>
      <c r="X2129" s="1"/>
    </row>
    <row r="2130" spans="6:40" x14ac:dyDescent="0.55000000000000004">
      <c r="F2130" s="1"/>
      <c r="G2130" s="1"/>
      <c r="H2130" s="2"/>
      <c r="X2130" s="1"/>
    </row>
    <row r="2131" spans="6:40" x14ac:dyDescent="0.55000000000000004">
      <c r="F2131" s="1"/>
      <c r="G2131" s="1"/>
      <c r="H2131" s="2"/>
      <c r="X2131" s="1"/>
    </row>
    <row r="2132" spans="6:40" x14ac:dyDescent="0.55000000000000004">
      <c r="F2132" s="1"/>
      <c r="G2132" s="1"/>
      <c r="H2132" s="2"/>
      <c r="X2132" s="1"/>
    </row>
    <row r="2133" spans="6:40" x14ac:dyDescent="0.55000000000000004">
      <c r="F2133" s="1"/>
      <c r="G2133" s="1"/>
      <c r="H2133" s="2"/>
      <c r="X2133" s="1"/>
    </row>
    <row r="2134" spans="6:40" x14ac:dyDescent="0.55000000000000004">
      <c r="F2134" s="1"/>
      <c r="G2134" s="1"/>
      <c r="H2134" s="2"/>
      <c r="X2134" s="1"/>
    </row>
    <row r="2135" spans="6:40" x14ac:dyDescent="0.55000000000000004">
      <c r="F2135" s="1"/>
      <c r="G2135" s="1"/>
      <c r="H2135" s="2"/>
      <c r="X2135" s="1"/>
      <c r="AF2135" s="4"/>
      <c r="AN2135" s="4"/>
    </row>
    <row r="2136" spans="6:40" x14ac:dyDescent="0.55000000000000004">
      <c r="F2136" s="1"/>
      <c r="G2136" s="1"/>
      <c r="H2136" s="2"/>
      <c r="X2136" s="1"/>
      <c r="AF2136" s="4"/>
      <c r="AN2136" s="4"/>
    </row>
    <row r="2137" spans="6:40" x14ac:dyDescent="0.55000000000000004">
      <c r="F2137" s="1"/>
      <c r="G2137" s="1"/>
      <c r="H2137" s="2"/>
      <c r="X2137" s="1"/>
      <c r="AF2137" s="4"/>
      <c r="AN2137" s="4"/>
    </row>
    <row r="2138" spans="6:40" x14ac:dyDescent="0.55000000000000004">
      <c r="F2138" s="1"/>
      <c r="G2138" s="1"/>
      <c r="H2138" s="2"/>
      <c r="X2138" s="1"/>
    </row>
    <row r="2139" spans="6:40" x14ac:dyDescent="0.55000000000000004">
      <c r="F2139" s="1"/>
      <c r="G2139" s="1"/>
      <c r="H2139" s="2"/>
      <c r="X2139" s="1"/>
    </row>
    <row r="2140" spans="6:40" x14ac:dyDescent="0.55000000000000004">
      <c r="F2140" s="1"/>
      <c r="G2140" s="1"/>
      <c r="H2140" s="2"/>
      <c r="X2140" s="1"/>
    </row>
    <row r="2141" spans="6:40" x14ac:dyDescent="0.55000000000000004">
      <c r="F2141" s="1"/>
      <c r="G2141" s="1"/>
      <c r="H2141" s="2"/>
      <c r="X2141" s="1"/>
    </row>
    <row r="2142" spans="6:40" x14ac:dyDescent="0.55000000000000004">
      <c r="F2142" s="1"/>
      <c r="G2142" s="1"/>
      <c r="H2142" s="2"/>
      <c r="X2142" s="1"/>
    </row>
    <row r="2143" spans="6:40" x14ac:dyDescent="0.55000000000000004">
      <c r="F2143" s="1"/>
      <c r="H2143" s="2"/>
    </row>
    <row r="2144" spans="6:40" x14ac:dyDescent="0.55000000000000004">
      <c r="F2144" s="1"/>
      <c r="G2144" s="1"/>
      <c r="H2144" s="2"/>
      <c r="X2144" s="1"/>
      <c r="AF2144" s="4"/>
      <c r="AN2144" s="4"/>
    </row>
    <row r="2145" spans="6:40" x14ac:dyDescent="0.55000000000000004">
      <c r="F2145" s="1"/>
      <c r="G2145" s="1"/>
      <c r="H2145" s="2"/>
      <c r="X2145" s="1"/>
    </row>
    <row r="2146" spans="6:40" x14ac:dyDescent="0.55000000000000004">
      <c r="F2146" s="1"/>
      <c r="G2146" s="1"/>
      <c r="H2146" s="2"/>
      <c r="X2146" s="1"/>
    </row>
    <row r="2147" spans="6:40" x14ac:dyDescent="0.55000000000000004">
      <c r="F2147" s="1"/>
      <c r="G2147" s="1"/>
      <c r="H2147" s="2"/>
      <c r="X2147" s="1"/>
    </row>
    <row r="2148" spans="6:40" x14ac:dyDescent="0.55000000000000004">
      <c r="F2148" s="1"/>
      <c r="G2148" s="1"/>
      <c r="H2148" s="2"/>
      <c r="X2148" s="1"/>
    </row>
    <row r="2149" spans="6:40" x14ac:dyDescent="0.55000000000000004">
      <c r="F2149" s="1"/>
      <c r="G2149" s="1"/>
      <c r="H2149" s="2"/>
      <c r="X2149" s="1"/>
    </row>
    <row r="2150" spans="6:40" x14ac:dyDescent="0.55000000000000004">
      <c r="F2150" s="1"/>
      <c r="G2150" s="1"/>
      <c r="H2150" s="2"/>
      <c r="X2150" s="1"/>
    </row>
    <row r="2151" spans="6:40" x14ac:dyDescent="0.55000000000000004">
      <c r="F2151" s="1"/>
      <c r="G2151" s="1"/>
      <c r="H2151" s="2"/>
      <c r="X2151" s="1"/>
    </row>
    <row r="2152" spans="6:40" x14ac:dyDescent="0.55000000000000004">
      <c r="F2152" s="1"/>
      <c r="G2152" s="1"/>
      <c r="H2152" s="2"/>
      <c r="X2152" s="1"/>
    </row>
    <row r="2153" spans="6:40" x14ac:dyDescent="0.55000000000000004">
      <c r="F2153" s="1"/>
      <c r="G2153" s="1"/>
      <c r="H2153" s="2"/>
      <c r="X2153" s="1"/>
      <c r="AF2153" s="4"/>
      <c r="AN2153" s="4"/>
    </row>
    <row r="2154" spans="6:40" x14ac:dyDescent="0.55000000000000004">
      <c r="F2154" s="1"/>
      <c r="H2154" s="2"/>
    </row>
    <row r="2155" spans="6:40" x14ac:dyDescent="0.55000000000000004">
      <c r="F2155" s="1"/>
      <c r="G2155" s="1"/>
      <c r="H2155" s="2"/>
      <c r="X2155" s="1"/>
    </row>
    <row r="2156" spans="6:40" x14ac:dyDescent="0.55000000000000004">
      <c r="F2156" s="1"/>
      <c r="H2156" s="2"/>
    </row>
    <row r="2157" spans="6:40" x14ac:dyDescent="0.55000000000000004">
      <c r="F2157" s="1"/>
      <c r="G2157" s="1"/>
      <c r="H2157" s="2"/>
      <c r="X2157" s="1"/>
    </row>
    <row r="2158" spans="6:40" x14ac:dyDescent="0.55000000000000004">
      <c r="F2158" s="1"/>
      <c r="G2158" s="1"/>
      <c r="H2158" s="2"/>
      <c r="X2158" s="1"/>
    </row>
    <row r="2159" spans="6:40" x14ac:dyDescent="0.55000000000000004">
      <c r="F2159" s="1"/>
      <c r="G2159" s="1"/>
      <c r="H2159" s="2"/>
      <c r="X2159" s="1"/>
    </row>
    <row r="2160" spans="6:40" x14ac:dyDescent="0.55000000000000004">
      <c r="F2160" s="1"/>
      <c r="G2160" s="1"/>
      <c r="H2160" s="2"/>
      <c r="X2160" s="1"/>
    </row>
    <row r="2161" spans="6:42" x14ac:dyDescent="0.55000000000000004">
      <c r="F2161" s="1"/>
      <c r="G2161" s="1"/>
      <c r="H2161" s="2"/>
      <c r="X2161" s="1"/>
    </row>
    <row r="2162" spans="6:42" x14ac:dyDescent="0.55000000000000004">
      <c r="F2162" s="1"/>
      <c r="G2162" s="1"/>
      <c r="H2162" s="2"/>
      <c r="X2162" s="1"/>
    </row>
    <row r="2163" spans="6:42" x14ac:dyDescent="0.55000000000000004">
      <c r="F2163" s="1"/>
      <c r="G2163" s="1"/>
      <c r="H2163" s="2"/>
      <c r="X2163" s="1"/>
    </row>
    <row r="2164" spans="6:42" x14ac:dyDescent="0.55000000000000004">
      <c r="F2164" s="1"/>
      <c r="G2164" s="1"/>
      <c r="H2164" s="2"/>
      <c r="X2164" s="1"/>
    </row>
    <row r="2165" spans="6:42" x14ac:dyDescent="0.55000000000000004">
      <c r="F2165" s="1"/>
      <c r="H2165" s="2"/>
    </row>
    <row r="2166" spans="6:42" x14ac:dyDescent="0.55000000000000004">
      <c r="F2166" s="1"/>
      <c r="G2166" s="1"/>
      <c r="H2166" s="2"/>
      <c r="X2166" s="1"/>
    </row>
    <row r="2167" spans="6:42" x14ac:dyDescent="0.55000000000000004">
      <c r="F2167" s="1"/>
      <c r="G2167" s="1"/>
      <c r="H2167" s="2"/>
      <c r="X2167" s="1"/>
    </row>
    <row r="2168" spans="6:42" x14ac:dyDescent="0.55000000000000004">
      <c r="F2168" s="1"/>
      <c r="G2168" s="1"/>
      <c r="H2168" s="2"/>
      <c r="X2168" s="1"/>
    </row>
    <row r="2169" spans="6:42" x14ac:dyDescent="0.55000000000000004">
      <c r="F2169" s="1"/>
      <c r="G2169" s="1"/>
      <c r="H2169" s="2"/>
      <c r="X2169" s="1"/>
    </row>
    <row r="2170" spans="6:42" x14ac:dyDescent="0.55000000000000004">
      <c r="F2170" s="1"/>
      <c r="G2170" s="1"/>
      <c r="H2170" s="2"/>
      <c r="X2170" s="1"/>
    </row>
    <row r="2171" spans="6:42" x14ac:dyDescent="0.55000000000000004">
      <c r="F2171" s="1"/>
      <c r="H2171" s="2"/>
    </row>
    <row r="2172" spans="6:42" x14ac:dyDescent="0.55000000000000004">
      <c r="F2172" s="1"/>
      <c r="G2172" s="1"/>
      <c r="H2172" s="2"/>
      <c r="X2172" s="1"/>
    </row>
    <row r="2173" spans="6:42" x14ac:dyDescent="0.55000000000000004">
      <c r="F2173" s="1"/>
      <c r="G2173" s="1"/>
      <c r="H2173" s="2"/>
      <c r="X2173" s="1"/>
    </row>
    <row r="2174" spans="6:42" x14ac:dyDescent="0.55000000000000004">
      <c r="F2174" s="1"/>
      <c r="G2174" s="1"/>
      <c r="H2174" s="2"/>
      <c r="X2174" s="1"/>
      <c r="AF2174" s="4"/>
      <c r="AN2174" s="4"/>
      <c r="AP2174" s="2"/>
    </row>
    <row r="2175" spans="6:42" x14ac:dyDescent="0.55000000000000004">
      <c r="F2175" s="1"/>
      <c r="G2175" s="1"/>
      <c r="H2175" s="2"/>
      <c r="X2175" s="1"/>
    </row>
    <row r="2176" spans="6:42" x14ac:dyDescent="0.55000000000000004">
      <c r="F2176" s="1"/>
      <c r="G2176" s="1"/>
      <c r="H2176" s="2"/>
      <c r="X2176" s="1"/>
    </row>
    <row r="2177" spans="6:24" x14ac:dyDescent="0.55000000000000004">
      <c r="F2177" s="1"/>
      <c r="G2177" s="1"/>
      <c r="H2177" s="2"/>
      <c r="X2177" s="1"/>
    </row>
    <row r="2178" spans="6:24" x14ac:dyDescent="0.55000000000000004">
      <c r="F2178" s="1"/>
      <c r="G2178" s="1"/>
      <c r="H2178" s="2"/>
      <c r="X2178" s="1"/>
    </row>
    <row r="2179" spans="6:24" x14ac:dyDescent="0.55000000000000004">
      <c r="F2179" s="1"/>
      <c r="H2179" s="2"/>
    </row>
    <row r="2180" spans="6:24" x14ac:dyDescent="0.55000000000000004">
      <c r="F2180" s="1"/>
      <c r="G2180" s="1"/>
      <c r="H2180" s="2"/>
      <c r="X2180" s="1"/>
    </row>
    <row r="2181" spans="6:24" x14ac:dyDescent="0.55000000000000004">
      <c r="F2181" s="1"/>
      <c r="G2181" s="1"/>
      <c r="H2181" s="2"/>
      <c r="X2181" s="1"/>
    </row>
    <row r="2182" spans="6:24" x14ac:dyDescent="0.55000000000000004">
      <c r="F2182" s="1"/>
      <c r="G2182" s="1"/>
      <c r="H2182" s="2"/>
      <c r="X2182" s="1"/>
    </row>
    <row r="2183" spans="6:24" x14ac:dyDescent="0.55000000000000004">
      <c r="F2183" s="1"/>
      <c r="G2183" s="1"/>
      <c r="H2183" s="2"/>
      <c r="X2183" s="1"/>
    </row>
    <row r="2184" spans="6:24" x14ac:dyDescent="0.55000000000000004">
      <c r="F2184" s="1"/>
      <c r="G2184" s="1"/>
      <c r="H2184" s="2"/>
      <c r="X2184" s="1"/>
    </row>
    <row r="2185" spans="6:24" x14ac:dyDescent="0.55000000000000004">
      <c r="F2185" s="1"/>
      <c r="H2185" s="2"/>
    </row>
    <row r="2186" spans="6:24" x14ac:dyDescent="0.55000000000000004">
      <c r="F2186" s="1"/>
      <c r="H2186" s="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934F-2B2D-4587-8660-7D2DFC53912B}">
  <sheetPr codeName="Sheet4"/>
  <dimension ref="A1:K8"/>
  <sheetViews>
    <sheetView tabSelected="1" workbookViewId="0">
      <selection activeCell="H4" sqref="H4"/>
    </sheetView>
  </sheetViews>
  <sheetFormatPr defaultRowHeight="18" x14ac:dyDescent="0.55000000000000004"/>
  <cols>
    <col min="1" max="1" width="18.6640625" customWidth="1"/>
    <col min="2" max="2" width="22.6640625" customWidth="1"/>
    <col min="3" max="3" width="30.6640625" customWidth="1"/>
    <col min="4" max="4" width="15.6640625" customWidth="1"/>
    <col min="5" max="5" width="12.6640625" style="74" customWidth="1"/>
    <col min="6" max="6" width="10.6640625" customWidth="1"/>
    <col min="7" max="7" width="25.6640625" style="74" customWidth="1"/>
    <col min="8" max="8" width="20.6640625" style="74" customWidth="1"/>
    <col min="9" max="9" width="14.6640625" style="74" customWidth="1"/>
    <col min="10" max="10" width="10.6640625" customWidth="1"/>
    <col min="11" max="11" width="20.6640625" customWidth="1"/>
  </cols>
  <sheetData>
    <row r="1" spans="1:11" x14ac:dyDescent="0.55000000000000004">
      <c r="A1" s="11" t="s">
        <v>27</v>
      </c>
      <c r="B1" s="11" t="s">
        <v>0</v>
      </c>
      <c r="C1" s="11" t="s">
        <v>1</v>
      </c>
      <c r="D1" s="11" t="s">
        <v>2</v>
      </c>
      <c r="E1" s="73" t="s">
        <v>3</v>
      </c>
      <c r="F1" s="11" t="s">
        <v>4</v>
      </c>
      <c r="G1" s="73" t="s">
        <v>5</v>
      </c>
      <c r="H1" s="73" t="s">
        <v>6</v>
      </c>
      <c r="I1" s="73" t="s">
        <v>7</v>
      </c>
      <c r="J1" s="11" t="s">
        <v>28</v>
      </c>
      <c r="K1" s="11" t="s">
        <v>8</v>
      </c>
    </row>
    <row r="2" spans="1:11" x14ac:dyDescent="0.55000000000000004">
      <c r="C2" s="2"/>
    </row>
    <row r="3" spans="1:11" x14ac:dyDescent="0.55000000000000004">
      <c r="C3" s="2"/>
    </row>
    <row r="4" spans="1:11" x14ac:dyDescent="0.55000000000000004">
      <c r="C4" s="2"/>
    </row>
    <row r="5" spans="1:11" x14ac:dyDescent="0.55000000000000004">
      <c r="C5" s="2"/>
    </row>
    <row r="6" spans="1:11" x14ac:dyDescent="0.55000000000000004">
      <c r="C6" s="2"/>
    </row>
    <row r="7" spans="1:11" x14ac:dyDescent="0.55000000000000004">
      <c r="C7" s="2"/>
    </row>
    <row r="8" spans="1:11" x14ac:dyDescent="0.55000000000000004">
      <c r="C8" s="2"/>
    </row>
  </sheetData>
  <phoneticPr fontId="1"/>
  <dataValidations count="1">
    <dataValidation type="list" allowBlank="1" showInputMessage="1" showErrorMessage="1" promptTitle="発送方法を選択" prompt="プルダウンから選択してください" sqref="A2:A1000" xr:uid="{EF48C6E2-E5DD-4BB6-81EB-4A0A2516A9C8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45BE-CC8B-4F94-AC1C-3E5BBF30A1AA}">
  <sheetPr codeName="Sheet5"/>
  <dimension ref="A1:K6"/>
  <sheetViews>
    <sheetView workbookViewId="0">
      <selection activeCell="E2" sqref="E2"/>
    </sheetView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style="74" bestFit="1" customWidth="1"/>
    <col min="6" max="6" width="5.5" bestFit="1" customWidth="1"/>
    <col min="7" max="7" width="6.58203125" style="74" bestFit="1" customWidth="1"/>
    <col min="8" max="8" width="9.1640625" style="74" bestFit="1" customWidth="1"/>
  </cols>
  <sheetData>
    <row r="1" spans="1:11" x14ac:dyDescent="0.55000000000000004">
      <c r="A1" s="6" t="s">
        <v>27</v>
      </c>
      <c r="B1" s="6" t="s">
        <v>0</v>
      </c>
      <c r="C1" s="6" t="s">
        <v>1</v>
      </c>
      <c r="D1" s="6" t="s">
        <v>2</v>
      </c>
      <c r="E1" s="75" t="s">
        <v>3</v>
      </c>
      <c r="F1" s="6" t="s">
        <v>60</v>
      </c>
      <c r="G1" s="75" t="s">
        <v>6</v>
      </c>
      <c r="H1" s="75" t="s">
        <v>7</v>
      </c>
      <c r="I1" s="6"/>
      <c r="J1" s="6"/>
      <c r="K1" s="6"/>
    </row>
    <row r="2" spans="1:11" x14ac:dyDescent="0.55000000000000004">
      <c r="C2" s="2"/>
    </row>
    <row r="3" spans="1:11" x14ac:dyDescent="0.55000000000000004">
      <c r="C3" s="2"/>
    </row>
    <row r="4" spans="1:11" x14ac:dyDescent="0.55000000000000004">
      <c r="C4" s="2"/>
    </row>
    <row r="5" spans="1:11" x14ac:dyDescent="0.55000000000000004">
      <c r="C5" s="2"/>
    </row>
    <row r="6" spans="1:11" x14ac:dyDescent="0.55000000000000004">
      <c r="C6" s="2"/>
    </row>
  </sheetData>
  <phoneticPr fontId="1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E8501-E959-4F3B-B1B9-5F71EA9C3F9E}">
  <sheetPr codeName="Sheet6"/>
  <dimension ref="A1:K3"/>
  <sheetViews>
    <sheetView workbookViewId="0"/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style="74" bestFit="1" customWidth="1"/>
    <col min="6" max="6" width="5.5" bestFit="1" customWidth="1"/>
    <col min="7" max="7" width="6.58203125" style="74" bestFit="1" customWidth="1"/>
    <col min="8" max="8" width="9.1640625" style="74" bestFit="1" customWidth="1"/>
  </cols>
  <sheetData>
    <row r="1" spans="1:11" x14ac:dyDescent="0.55000000000000004">
      <c r="A1" s="6" t="s">
        <v>27</v>
      </c>
      <c r="B1" s="6" t="s">
        <v>0</v>
      </c>
      <c r="C1" s="6" t="s">
        <v>1</v>
      </c>
      <c r="D1" s="6" t="s">
        <v>2</v>
      </c>
      <c r="E1" s="75" t="s">
        <v>3</v>
      </c>
      <c r="F1" s="6" t="s">
        <v>60</v>
      </c>
      <c r="G1" s="75" t="s">
        <v>6</v>
      </c>
      <c r="H1" s="75" t="s">
        <v>7</v>
      </c>
      <c r="I1" s="6"/>
      <c r="J1" s="6"/>
      <c r="K1" s="6"/>
    </row>
    <row r="2" spans="1:11" x14ac:dyDescent="0.55000000000000004">
      <c r="C2" s="2"/>
    </row>
    <row r="3" spans="1:11" x14ac:dyDescent="0.55000000000000004">
      <c r="C3" s="2"/>
    </row>
  </sheetData>
  <phoneticPr fontId="1"/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5CB7-8BFB-4E4D-9B5B-277292F16C28}">
  <sheetPr codeName="Sheet7"/>
  <dimension ref="A1:K1"/>
  <sheetViews>
    <sheetView workbookViewId="0"/>
  </sheetViews>
  <sheetFormatPr defaultRowHeight="18" x14ac:dyDescent="0.55000000000000004"/>
  <cols>
    <col min="1" max="2" width="9.1640625" bestFit="1" customWidth="1"/>
    <col min="3" max="3" width="63.6640625" customWidth="1"/>
    <col min="4" max="4" width="13.1640625" bestFit="1" customWidth="1"/>
    <col min="5" max="5" width="9.1640625" style="74" bestFit="1" customWidth="1"/>
    <col min="6" max="6" width="5.5" bestFit="1" customWidth="1"/>
    <col min="7" max="7" width="6.58203125" style="74" bestFit="1" customWidth="1"/>
    <col min="8" max="8" width="9.1640625" style="74" bestFit="1" customWidth="1"/>
  </cols>
  <sheetData>
    <row r="1" spans="1:11" x14ac:dyDescent="0.55000000000000004">
      <c r="A1" s="6" t="s">
        <v>27</v>
      </c>
      <c r="B1" s="6" t="s">
        <v>0</v>
      </c>
      <c r="C1" s="6" t="s">
        <v>1</v>
      </c>
      <c r="D1" s="6" t="s">
        <v>2</v>
      </c>
      <c r="E1" s="75" t="s">
        <v>3</v>
      </c>
      <c r="F1" s="6" t="s">
        <v>60</v>
      </c>
      <c r="G1" s="75" t="s">
        <v>6</v>
      </c>
      <c r="H1" s="75" t="s">
        <v>7</v>
      </c>
      <c r="I1" s="6"/>
      <c r="J1" s="6"/>
      <c r="K1" s="6"/>
    </row>
  </sheetData>
  <phoneticPr fontId="1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038A1-2808-4BAC-A9E7-A312F28982AF}">
  <sheetPr codeName="Sheet8"/>
  <dimension ref="A1:J1"/>
  <sheetViews>
    <sheetView workbookViewId="0"/>
  </sheetViews>
  <sheetFormatPr defaultRowHeight="18" x14ac:dyDescent="0.55000000000000004"/>
  <sheetData>
    <row r="1" spans="1:10" x14ac:dyDescent="0.55000000000000004">
      <c r="A1" s="7" t="s">
        <v>9</v>
      </c>
      <c r="B1" s="7" t="s">
        <v>2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80C23-5D79-4ABF-84B9-639A2231038E}">
  <sheetPr codeName="Sheet9"/>
  <dimension ref="A1:J1"/>
  <sheetViews>
    <sheetView workbookViewId="0">
      <selection activeCell="F24" sqref="F24"/>
    </sheetView>
  </sheetViews>
  <sheetFormatPr defaultRowHeight="18" x14ac:dyDescent="0.55000000000000004"/>
  <sheetData>
    <row r="1" spans="1:10" x14ac:dyDescent="0.55000000000000004">
      <c r="A1" s="7" t="s">
        <v>9</v>
      </c>
      <c r="B1" s="7" t="s">
        <v>2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A9C4-347E-4321-8647-31A973A21C8C}">
  <sheetPr codeName="Sheet10"/>
  <dimension ref="A1:F1"/>
  <sheetViews>
    <sheetView workbookViewId="0"/>
  </sheetViews>
  <sheetFormatPr defaultRowHeight="18" x14ac:dyDescent="0.55000000000000004"/>
  <sheetData>
    <row r="1" spans="1:6" x14ac:dyDescent="0.55000000000000004">
      <c r="A1" s="10" t="s">
        <v>0</v>
      </c>
      <c r="B1" s="10" t="s">
        <v>22</v>
      </c>
      <c r="C1" s="10" t="s">
        <v>23</v>
      </c>
      <c r="D1" s="10" t="s">
        <v>24</v>
      </c>
      <c r="E1" s="10" t="s">
        <v>25</v>
      </c>
      <c r="F1" s="10" t="s">
        <v>26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B522-6101-49C3-AD1C-7B542AC808C9}">
  <sheetPr codeName="Sheet11"/>
  <dimension ref="A1:H1"/>
  <sheetViews>
    <sheetView workbookViewId="0"/>
  </sheetViews>
  <sheetFormatPr defaultRowHeight="18" x14ac:dyDescent="0.55000000000000004"/>
  <cols>
    <col min="1" max="1" width="8.6640625" style="74"/>
    <col min="5" max="6" width="8.6640625" style="74"/>
  </cols>
  <sheetData>
    <row r="1" spans="1:8" x14ac:dyDescent="0.55000000000000004">
      <c r="A1" s="76" t="s">
        <v>9</v>
      </c>
      <c r="B1" s="8" t="s">
        <v>2</v>
      </c>
      <c r="C1" s="8" t="s">
        <v>10</v>
      </c>
      <c r="D1" s="8" t="s">
        <v>11</v>
      </c>
      <c r="E1" s="76" t="s">
        <v>12</v>
      </c>
      <c r="F1" s="76" t="s">
        <v>13</v>
      </c>
      <c r="G1" s="8" t="s">
        <v>15</v>
      </c>
      <c r="H1" s="8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948D-C8F0-40B4-BF79-0229BD8D28DA}">
  <sheetPr codeName="Sheet12"/>
  <dimension ref="A1:H1"/>
  <sheetViews>
    <sheetView workbookViewId="0"/>
  </sheetViews>
  <sheetFormatPr defaultRowHeight="18" x14ac:dyDescent="0.55000000000000004"/>
  <cols>
    <col min="1" max="1" width="8.6640625" style="74"/>
    <col min="5" max="6" width="8.6640625" style="74"/>
  </cols>
  <sheetData>
    <row r="1" spans="1:8" x14ac:dyDescent="0.55000000000000004">
      <c r="A1" s="76" t="s">
        <v>9</v>
      </c>
      <c r="B1" s="8" t="s">
        <v>2</v>
      </c>
      <c r="C1" s="8" t="s">
        <v>10</v>
      </c>
      <c r="D1" s="8" t="s">
        <v>11</v>
      </c>
      <c r="E1" s="76" t="s">
        <v>12</v>
      </c>
      <c r="F1" s="76" t="s">
        <v>13</v>
      </c>
      <c r="G1" s="8" t="s">
        <v>15</v>
      </c>
      <c r="H1" s="8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357F-6823-4483-AE0E-5E4003096326}">
  <sheetPr codeName="Sheet13"/>
  <dimension ref="A1:BW3"/>
  <sheetViews>
    <sheetView workbookViewId="0"/>
  </sheetViews>
  <sheetFormatPr defaultRowHeight="18" x14ac:dyDescent="0.55000000000000004"/>
  <cols>
    <col min="3" max="4" width="8.6640625" style="74"/>
    <col min="6" max="7" width="8.6640625" style="74"/>
  </cols>
  <sheetData>
    <row r="1" spans="1:75" x14ac:dyDescent="0.55000000000000004">
      <c r="A1" s="9" t="s">
        <v>61</v>
      </c>
      <c r="B1" s="9"/>
      <c r="C1" s="77"/>
      <c r="D1" s="77"/>
      <c r="E1" s="9"/>
      <c r="F1" s="77"/>
      <c r="G1" s="77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</row>
    <row r="3" spans="1:75" x14ac:dyDescent="0.55000000000000004">
      <c r="A3" s="12"/>
      <c r="B3" s="12"/>
      <c r="C3" s="78"/>
      <c r="D3" s="78"/>
      <c r="E3" s="12"/>
      <c r="F3" s="78"/>
      <c r="G3" s="78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5D588-5D20-4058-94F7-1245FE6403A1}">
  <sheetPr codeName="Sheet3">
    <tabColor rgb="FFFFC000"/>
    <pageSetUpPr fitToPage="1"/>
  </sheetPr>
  <dimension ref="B2:M41"/>
  <sheetViews>
    <sheetView showGridLines="0" zoomScale="70" zoomScaleNormal="70" workbookViewId="0">
      <selection activeCell="B11" sqref="B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" width="8.83203125" style="13"/>
    <col min="17" max="17" width="6.83203125" style="13" customWidth="1"/>
    <col min="18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66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71"/>
      <c r="D11" s="22"/>
      <c r="E11" s="23"/>
      <c r="G11" s="21"/>
      <c r="H11" s="71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72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67"/>
      <c r="C22" s="33"/>
      <c r="D22" s="33"/>
      <c r="E22" s="33"/>
      <c r="F22" s="33"/>
      <c r="G22" s="34"/>
      <c r="H22" s="35"/>
      <c r="I22" s="36"/>
      <c r="J22" s="37"/>
      <c r="M22" s="13" t="str">
        <f>[1]注文一覧【反映用_A列のみ手入力】!AF2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35" t="str">
        <f>IFERROR(VLOOKUP(B23,[1]新商品リスト!B:C,2,0),"")</f>
        <v/>
      </c>
      <c r="I23" s="36"/>
      <c r="J23" s="40"/>
      <c r="M23" s="13" t="str">
        <f>[1]注文一覧【反映用_A列のみ手入力】!AG2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35" t="str">
        <f>IFERROR(VLOOKUP(B24,[1]新商品リスト!B:C,2,0),"")</f>
        <v/>
      </c>
      <c r="I24" s="36"/>
      <c r="J24" s="40"/>
      <c r="M24" s="43" t="str">
        <f>[1]注文一覧【反映用_A列のみ手入力】!AH2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35" t="str">
        <f>IFERROR(VLOOKUP(B25,[1]新商品リスト!B:C,2,0),"")</f>
        <v/>
      </c>
      <c r="I25" s="36"/>
      <c r="J25" s="40"/>
      <c r="M25" s="43" t="str">
        <f>[1]注文一覧【反映用_A列のみ手入力】!AI2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35" t="str">
        <f>IFERROR(VLOOKUP(B26,[1]新商品リスト!B:C,2,0),"")</f>
        <v/>
      </c>
      <c r="I26" s="44"/>
      <c r="J26" s="40"/>
      <c r="M26" s="43" t="str">
        <f>[1]注文一覧【反映用_A列のみ手入力】!AJ2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35" t="str">
        <f>IFERROR(VLOOKUP(B27,[1]新商品リスト!B:C,2,0),"")</f>
        <v/>
      </c>
      <c r="I27" s="44"/>
      <c r="J27" s="40"/>
      <c r="M27" s="43" t="str">
        <f>[1]注文一覧【反映用_A列のみ手入力】!AK2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35" t="str">
        <f>IFERROR(VLOOKUP(B28,[1]新商品リスト!B:C,2,0),"")</f>
        <v/>
      </c>
      <c r="I28" s="44"/>
      <c r="J28" s="40"/>
      <c r="M28" s="43" t="str">
        <f>[1]注文一覧【反映用_A列のみ手入力】!AL2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35" t="str">
        <f>IFERROR(VLOOKUP(B29,[1]新商品リスト!B:C,2,0),"")</f>
        <v/>
      </c>
      <c r="I29" s="44"/>
      <c r="J29" s="40"/>
      <c r="M29" s="43" t="str">
        <f>[1]注文一覧【反映用_A列のみ手入力】!AM2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35" t="str">
        <f>IFERROR(VLOOKUP(B30,[1]新商品リスト!B:C,2,0),"")</f>
        <v/>
      </c>
      <c r="I30" s="44"/>
      <c r="J30" s="40"/>
      <c r="M30" s="43" t="str">
        <f>[1]注文一覧【反映用_A列のみ手入力】!AN2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47" t="str">
        <f>IFERROR(VLOOKUP(B31,[1]新商品リスト!B:C,2,0),"")</f>
        <v/>
      </c>
      <c r="I31" s="47"/>
      <c r="J31" s="48"/>
      <c r="M31" s="43" t="str">
        <f>[1]注文一覧【反映用_A列のみ手入力】!AO2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59055118110236227" right="0.59055118110236227" top="0.59055118110236227" bottom="0.39370078740157483" header="0.31496062992125984" footer="0.31496062992125984"/>
  <pageSetup paperSize="9" scale="63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95C7F-A9BC-44DC-92F4-3114723D4A31}">
  <sheetPr codeName="Sheet14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66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60"/>
      <c r="C11" s="71"/>
      <c r="D11" s="22"/>
      <c r="E11" s="23"/>
      <c r="G11" s="60"/>
      <c r="H11" s="71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72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[1]注文一覧【反映用_A列のみ手入力】!AF3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2" t="str">
        <f>IFERROR(VLOOKUP(B23,[1]新商品リスト!B:C,2,0),"")</f>
        <v/>
      </c>
      <c r="I23" s="36"/>
      <c r="J23" s="40"/>
      <c r="M23" s="13" t="str">
        <f>[1]注文一覧【反映用_A列のみ手入力】!AG3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2" t="str">
        <f>IFERROR(VLOOKUP(B24,[1]新商品リスト!B:C,2,0),"")</f>
        <v/>
      </c>
      <c r="I24" s="36"/>
      <c r="J24" s="40"/>
      <c r="M24" s="43" t="str">
        <f>[1]注文一覧【反映用_A列のみ手入力】!AH3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2" t="str">
        <f>IFERROR(VLOOKUP(B25,[1]新商品リスト!B:C,2,0),"")</f>
        <v/>
      </c>
      <c r="I25" s="36"/>
      <c r="J25" s="40"/>
      <c r="M25" s="43" t="str">
        <f>[1]注文一覧【反映用_A列のみ手入力】!AI3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43" t="str">
        <f>[1]注文一覧【反映用_A列のみ手入力】!AJ3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43" t="str">
        <f>[1]注文一覧【反映用_A列のみ手入力】!AK3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43" t="str">
        <f>[1]注文一覧【反映用_A列のみ手入力】!AL3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43" t="str">
        <f>[1]注文一覧【反映用_A列のみ手入力】!AM3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43" t="str">
        <f>[1]注文一覧【反映用_A列のみ手入力】!AN3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47" t="str">
        <f>IFERROR(VLOOKUP(B31,[1]新商品リスト!B:C,2,0),"")</f>
        <v/>
      </c>
      <c r="I31" s="47"/>
      <c r="J31" s="48"/>
      <c r="M31" s="43" t="str">
        <f>[1]注文一覧【反映用_A列のみ手入力】!AO3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B8D8-3391-45FA-816E-DF212FD6657C}">
  <sheetPr codeName="Sheet15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66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71"/>
      <c r="D11" s="22"/>
      <c r="E11" s="23"/>
      <c r="G11" s="21"/>
      <c r="H11" s="71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72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[1]注文一覧【反映用_A列のみ手入力】!AF4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[1]注文一覧【反映用_A列のみ手入力】!AG4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43" t="str">
        <f>[1]注文一覧【反映用_A列のみ手入力】!AH4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43" t="str">
        <f>[1]注文一覧【反映用_A列のみ手入力】!AI4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43" t="str">
        <f>[1]注文一覧【反映用_A列のみ手入力】!AJ4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43" t="str">
        <f>[1]注文一覧【反映用_A列のみ手入力】!AK4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43" t="str">
        <f>[1]注文一覧【反映用_A列のみ手入力】!AL4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43" t="str">
        <f>[1]注文一覧【反映用_A列のみ手入力】!AM4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43" t="str">
        <f>[1]注文一覧【反映用_A列のみ手入力】!AN4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43" t="str">
        <f>[1]注文一覧【反映用_A列のみ手入力】!AO4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C16E1-0F00-4392-BF12-1C3A3D13EF65}">
  <sheetPr codeName="Sheet16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66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71"/>
      <c r="D11" s="22"/>
      <c r="E11" s="23"/>
      <c r="G11" s="21"/>
      <c r="H11" s="71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72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[1]注文一覧【反映用_A列のみ手入力】!AF5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[1]注文一覧【反映用_A列のみ手入力】!AG5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43" t="str">
        <f>[1]注文一覧【反映用_A列のみ手入力】!AH5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43" t="str">
        <f>[1]注文一覧【反映用_A列のみ手入力】!AI5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43" t="str">
        <f>[1]注文一覧【反映用_A列のみ手入力】!AJ5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43" t="str">
        <f>[1]注文一覧【反映用_A列のみ手入力】!AK5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43" t="str">
        <f>[1]注文一覧【反映用_A列のみ手入力】!AL5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43" t="str">
        <f>[1]注文一覧【反映用_A列のみ手入力】!AM5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43" t="str">
        <f>[1]注文一覧【反映用_A列のみ手入力】!AN5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43" t="str">
        <f>[1]注文一覧【反映用_A列のみ手入力】!AO5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1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4A6EE-62A1-4208-96EB-7D09A617DA9C}">
  <sheetPr codeName="Sheet17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66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71"/>
      <c r="D11" s="22"/>
      <c r="E11" s="23"/>
      <c r="G11" s="21"/>
      <c r="H11" s="71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72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[1]注文一覧【反映用_A列のみ手入力】!AF6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[1]注文一覧【反映用_A列のみ手入力】!AG6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43" t="str">
        <f>[1]注文一覧【反映用_A列のみ手入力】!AH6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43" t="str">
        <f>[1]注文一覧【反映用_A列のみ手入力】!AI6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43" t="str">
        <f>[1]注文一覧【反映用_A列のみ手入力】!AJ6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43" t="str">
        <f>[1]注文一覧【反映用_A列のみ手入力】!AK6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43" t="str">
        <f>[1]注文一覧【反映用_A列のみ手入力】!AL6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43" t="str">
        <f>[1]注文一覧【反映用_A列のみ手入力】!AM6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43" t="str">
        <f>[1]注文一覧【反映用_A列のみ手入力】!AN6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43" t="str">
        <f>[1]注文一覧【反映用_A列のみ手入力】!AO6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3805-9976-406D-A543-76FB55AAE9CA}">
  <sheetPr codeName="Sheet18">
    <tabColor rgb="FFFFC000"/>
    <pageSetUpPr fitToPage="1"/>
  </sheetPr>
  <dimension ref="B2:M41"/>
  <sheetViews>
    <sheetView showGridLines="0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66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71"/>
      <c r="D11" s="22"/>
      <c r="E11" s="23"/>
      <c r="G11" s="21"/>
      <c r="H11" s="71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72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[1]注文一覧【反映用_A列のみ手入力】!AF7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[1]注文一覧【反映用_A列のみ手入力】!AG7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[1]注文一覧【反映用_A列のみ手入力】!AH7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[1]注文一覧【反映用_A列のみ手入力】!AI7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[1]注文一覧【反映用_A列のみ手入力】!AJ7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[1]注文一覧【反映用_A列のみ手入力】!AK7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[1]注文一覧【反映用_A列のみ手入力】!AL7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[1]注文一覧【反映用_A列のみ手入力】!AM7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[1]注文一覧【反映用_A列のみ手入力】!AN7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[1]注文一覧【反映用_A列のみ手入力】!AO7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BFC8A-3B0A-474B-A10E-EA79AE8E758B}">
  <sheetPr codeName="Sheet19">
    <tabColor rgb="FFFFC000"/>
    <pageSetUpPr fitToPage="1"/>
  </sheetPr>
  <dimension ref="B2:M41"/>
  <sheetViews>
    <sheetView showGridLines="0" topLeftCell="A19" zoomScale="70" zoomScaleNormal="70" workbookViewId="0">
      <selection activeCell="B22" sqref="B22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66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71"/>
      <c r="D11" s="22"/>
      <c r="E11" s="23"/>
      <c r="G11" s="21"/>
      <c r="H11" s="71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72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[1]注文一覧【反映用_A列のみ手入力】!AF8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[1]注文一覧【反映用_A列のみ手入力】!AG8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[1]注文一覧【反映用_A列のみ手入力】!AH8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[1]注文一覧【反映用_A列のみ手入力】!AI8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[1]注文一覧【反映用_A列のみ手入力】!AJ8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[1]注文一覧【反映用_A列のみ手入力】!AK8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[1]注文一覧【反映用_A列のみ手入力】!AL8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[1]注文一覧【反映用_A列のみ手入力】!AM8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[1]注文一覧【反映用_A列のみ手入力】!AN8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[1]注文一覧【反映用_A列のみ手入力】!AO8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A59E-465F-4A34-8CD0-C3562C70F4C3}">
  <sheetPr codeName="Sheet20">
    <tabColor rgb="FFFFC000"/>
    <pageSetUpPr fitToPage="1"/>
  </sheetPr>
  <dimension ref="B2:M41"/>
  <sheetViews>
    <sheetView showGridLines="0" zoomScale="70" zoomScaleNormal="70" workbookViewId="0">
      <selection activeCell="P10" sqref="P10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[1]注文一覧【反映用_A列のみ手入力】!AF9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[1]注文一覧【反映用_A列のみ手入力】!AG9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[1]注文一覧【反映用_A列のみ手入力】!AH9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[1]注文一覧【反映用_A列のみ手入力】!AI9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[1]注文一覧【反映用_A列のみ手入力】!AJ9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[1]注文一覧【反映用_A列のみ手入力】!AK9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[1]注文一覧【反映用_A列のみ手入力】!AL9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[1]注文一覧【反映用_A列のみ手入力】!AM9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[1]注文一覧【反映用_A列のみ手入力】!AN9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[1]注文一覧【反映用_A列のみ手入力】!AO9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D3D45-C4E3-4A6A-BCC1-F2E1383F17E4}">
  <sheetPr codeName="Sheet21">
    <tabColor rgb="FFFFC000"/>
    <pageSetUpPr fitToPage="1"/>
  </sheetPr>
  <dimension ref="B2:M41"/>
  <sheetViews>
    <sheetView showGridLines="0" zoomScale="70" zoomScaleNormal="70" workbookViewId="0">
      <selection activeCell="L8" sqref="L8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[1]注文一覧【反映用_A列のみ手入力】!AF10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[1]注文一覧【反映用_A列のみ手入力】!AG10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[1]注文一覧【反映用_A列のみ手入力】!AH10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[1]注文一覧【反映用_A列のみ手入力】!AI10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[1]注文一覧【反映用_A列のみ手入力】!AJ10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[1]注文一覧【反映用_A列のみ手入力】!AK10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[1]注文一覧【反映用_A列のみ手入力】!AL10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[1]注文一覧【反映用_A列のみ手入力】!AM10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[1]注文一覧【反映用_A列のみ手入力】!AN10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[1]注文一覧【反映用_A列のみ手入力】!AO10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7578-F08B-4C1A-A2AA-F20CFFBEF2B2}">
  <sheetPr codeName="Sheet22">
    <tabColor rgb="FFFFC000"/>
    <pageSetUpPr fitToPage="1"/>
  </sheetPr>
  <dimension ref="B2:M41"/>
  <sheetViews>
    <sheetView showGridLines="0" zoomScale="70" zoomScaleNormal="70" workbookViewId="0">
      <selection activeCell="L8" sqref="L8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[1]注文一覧【反映用_A列のみ手入力】!AF11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[1]注文一覧【反映用_A列のみ手入力】!AG11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[1]注文一覧【反映用_A列のみ手入力】!AH11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[1]注文一覧【反映用_A列のみ手入力】!AI11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[1]注文一覧【反映用_A列のみ手入力】!AJ11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[1]注文一覧【反映用_A列のみ手入力】!AK11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[1]注文一覧【反映用_A列のみ手入力】!AL11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[1]注文一覧【反映用_A列のみ手入力】!AM11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[1]注文一覧【反映用_A列のみ手入力】!AN11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[1]注文一覧【反映用_A列のみ手入力】!AO11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8C264-5D5C-4413-9114-C35734DE092D}">
  <sheetPr codeName="Sheet23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35E5A-FA19-40A8-A5C2-C34D8755204C}">
  <sheetPr codeName="Sheet24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3CCCA-1E6F-4661-8E37-A59CF0329501}">
  <sheetPr codeName="Sheet25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7033-E124-4E2C-8DCB-AE66C504A6D6}">
  <sheetPr codeName="Sheet26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0065F-2EC7-426E-83A4-76DB1A392CB8}">
  <sheetPr codeName="Sheet27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7539-D446-444A-9834-AFB3B8990F51}">
  <sheetPr codeName="Sheet28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11FD2-A1BF-4A5B-8A66-43500D28D7EB}">
  <sheetPr codeName="Sheet29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CF8E2-9680-4B7B-BD59-54CECBE93F9F}">
  <sheetPr codeName="Sheet30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6258A-3453-4742-8F88-701A37967962}">
  <sheetPr codeName="Sheet31">
    <tabColor rgb="FFFFC000"/>
    <pageSetUpPr fitToPage="1"/>
  </sheetPr>
  <dimension ref="B2:M41"/>
  <sheetViews>
    <sheetView showGridLines="0" zoomScale="70" zoomScaleNormal="70" workbookViewId="0">
      <selection activeCell="N11" sqref="N11"/>
    </sheetView>
  </sheetViews>
  <sheetFormatPr defaultColWidth="8.83203125" defaultRowHeight="20.399999999999999" customHeight="1" x14ac:dyDescent="0.55000000000000004"/>
  <cols>
    <col min="1" max="1" width="2.1640625" style="13" customWidth="1"/>
    <col min="2" max="10" width="14.1640625" style="13" customWidth="1"/>
    <col min="11" max="11" width="9.1640625" style="13" customWidth="1"/>
    <col min="12" max="12" width="4.9140625" style="13" customWidth="1"/>
    <col min="13" max="15" width="9.1640625" style="13" customWidth="1"/>
    <col min="16" max="16384" width="8.83203125" style="13"/>
  </cols>
  <sheetData>
    <row r="2" spans="2:10" ht="20.399999999999999" customHeight="1" x14ac:dyDescent="0.55000000000000004">
      <c r="J2" s="14"/>
    </row>
    <row r="3" spans="2:10" ht="34.25" customHeight="1" x14ac:dyDescent="0.55000000000000004">
      <c r="B3" s="15"/>
      <c r="C3" s="15"/>
      <c r="D3" s="15"/>
      <c r="E3" s="15"/>
      <c r="F3" s="16" t="s">
        <v>62</v>
      </c>
      <c r="G3" s="15"/>
      <c r="H3" s="15"/>
      <c r="I3" s="17" t="s">
        <v>63</v>
      </c>
      <c r="J3" s="18"/>
    </row>
    <row r="5" spans="2:10" ht="20.399999999999999" customHeight="1" x14ac:dyDescent="0.55000000000000004">
      <c r="F5" s="19" t="s">
        <v>64</v>
      </c>
      <c r="G5" s="80"/>
      <c r="H5" s="80"/>
      <c r="I5" s="19" t="s">
        <v>65</v>
      </c>
      <c r="J5" s="20"/>
    </row>
    <row r="7" spans="2:10" ht="20.399999999999999" customHeight="1" x14ac:dyDescent="0.55000000000000004">
      <c r="B7" s="13" t="s">
        <v>66</v>
      </c>
    </row>
    <row r="8" spans="2:10" ht="20.399999999999999" customHeight="1" x14ac:dyDescent="0.55000000000000004">
      <c r="B8" s="13" t="s">
        <v>67</v>
      </c>
    </row>
    <row r="10" spans="2:10" ht="20.399999999999999" customHeight="1" x14ac:dyDescent="0.55000000000000004">
      <c r="B10" s="81" t="s">
        <v>68</v>
      </c>
      <c r="C10" s="81"/>
      <c r="D10" s="81"/>
      <c r="E10" s="81"/>
      <c r="G10" s="82" t="s">
        <v>69</v>
      </c>
      <c r="H10" s="83"/>
      <c r="I10" s="83"/>
      <c r="J10" s="84"/>
    </row>
    <row r="11" spans="2:10" ht="20.399999999999999" customHeight="1" x14ac:dyDescent="0.55000000000000004">
      <c r="B11" s="21"/>
      <c r="C11" s="22"/>
      <c r="D11" s="22"/>
      <c r="E11" s="23"/>
      <c r="G11" s="21"/>
      <c r="H11" s="22"/>
      <c r="I11" s="22"/>
      <c r="J11" s="23"/>
    </row>
    <row r="12" spans="2:10" ht="20.399999999999999" customHeight="1" x14ac:dyDescent="0.55000000000000004">
      <c r="B12" s="61"/>
      <c r="E12" s="25"/>
      <c r="G12" s="61"/>
      <c r="J12" s="25"/>
    </row>
    <row r="13" spans="2:10" ht="20.399999999999999" customHeight="1" x14ac:dyDescent="0.55000000000000004">
      <c r="B13" s="61"/>
      <c r="E13" s="25"/>
      <c r="G13" s="61"/>
      <c r="J13" s="25"/>
    </row>
    <row r="14" spans="2:10" ht="20.399999999999999" customHeight="1" x14ac:dyDescent="0.55000000000000004">
      <c r="B14" s="24" t="s">
        <v>85</v>
      </c>
      <c r="C14" s="14"/>
      <c r="E14" s="25"/>
      <c r="G14" s="24" t="s">
        <v>85</v>
      </c>
      <c r="H14" s="14"/>
      <c r="J14" s="25"/>
    </row>
    <row r="15" spans="2:10" ht="20.399999999999999" customHeight="1" x14ac:dyDescent="0.55000000000000004">
      <c r="B15" s="24"/>
      <c r="E15" s="25"/>
      <c r="G15" s="24"/>
      <c r="J15" s="25"/>
    </row>
    <row r="16" spans="2:10" ht="20.399999999999999" customHeight="1" x14ac:dyDescent="0.55000000000000004">
      <c r="B16" s="24"/>
      <c r="C16" s="69"/>
      <c r="E16" s="25"/>
      <c r="G16" s="24"/>
      <c r="H16" s="69"/>
      <c r="J16" s="25"/>
    </row>
    <row r="17" spans="2:13" ht="20.399999999999999" customHeight="1" x14ac:dyDescent="0.55000000000000004">
      <c r="B17" s="26"/>
      <c r="C17" s="27"/>
      <c r="D17" s="27"/>
      <c r="E17" s="28"/>
      <c r="G17" s="26"/>
      <c r="H17" s="27"/>
      <c r="I17" s="27"/>
      <c r="J17" s="28"/>
    </row>
    <row r="19" spans="2:13" ht="20.399999999999999" customHeight="1" thickBot="1" x14ac:dyDescent="0.6">
      <c r="B19" s="29" t="s">
        <v>70</v>
      </c>
      <c r="C19" s="30"/>
      <c r="D19" s="31"/>
      <c r="E19" s="29" t="s">
        <v>71</v>
      </c>
    </row>
    <row r="20" spans="2:13" ht="20.399999999999999" customHeight="1" thickTop="1" x14ac:dyDescent="0.55000000000000004"/>
    <row r="21" spans="2:13" ht="20.399999999999999" customHeight="1" x14ac:dyDescent="0.55000000000000004">
      <c r="B21" s="82" t="s">
        <v>72</v>
      </c>
      <c r="C21" s="83"/>
      <c r="D21" s="83"/>
      <c r="E21" s="83"/>
      <c r="F21" s="83"/>
      <c r="G21" s="84"/>
      <c r="H21" s="19" t="s">
        <v>73</v>
      </c>
      <c r="I21" s="19" t="s">
        <v>74</v>
      </c>
      <c r="J21" s="19" t="s">
        <v>75</v>
      </c>
      <c r="M21" s="32" t="s">
        <v>76</v>
      </c>
    </row>
    <row r="22" spans="2:13" ht="27" customHeight="1" x14ac:dyDescent="0.55000000000000004">
      <c r="B22" s="70"/>
      <c r="C22" s="33"/>
      <c r="D22" s="33"/>
      <c r="E22" s="33"/>
      <c r="F22" s="33"/>
      <c r="G22" s="34"/>
      <c r="H22" s="62"/>
      <c r="I22" s="63"/>
      <c r="J22" s="37"/>
      <c r="M22" s="13" t="str">
        <f>[1]注文一覧【反映用_A列のみ手入力】!AF12</f>
        <v/>
      </c>
    </row>
    <row r="23" spans="2:13" ht="27" customHeight="1" x14ac:dyDescent="0.55000000000000004">
      <c r="B23" s="67"/>
      <c r="C23" s="38"/>
      <c r="D23" s="38"/>
      <c r="E23" s="38"/>
      <c r="F23" s="38"/>
      <c r="G23" s="39"/>
      <c r="H23" s="64" t="str">
        <f>IFERROR(VLOOKUP(B23,[1]新商品リスト!B:C,2,0),"")</f>
        <v/>
      </c>
      <c r="I23" s="36"/>
      <c r="J23" s="40"/>
      <c r="M23" s="13" t="str">
        <f>[1]注文一覧【反映用_A列のみ手入力】!AG12</f>
        <v/>
      </c>
    </row>
    <row r="24" spans="2:13" ht="27" customHeight="1" x14ac:dyDescent="0.55000000000000004">
      <c r="B24" s="67"/>
      <c r="C24" s="41"/>
      <c r="D24" s="41"/>
      <c r="E24" s="41"/>
      <c r="F24" s="41"/>
      <c r="G24" s="42"/>
      <c r="H24" s="64" t="str">
        <f>IFERROR(VLOOKUP(B24,[1]新商品リスト!B:C,2,0),"")</f>
        <v/>
      </c>
      <c r="I24" s="36"/>
      <c r="J24" s="40"/>
      <c r="M24" s="13" t="str">
        <f>[1]注文一覧【反映用_A列のみ手入力】!AH12</f>
        <v/>
      </c>
    </row>
    <row r="25" spans="2:13" ht="27" customHeight="1" x14ac:dyDescent="0.55000000000000004">
      <c r="B25" s="67"/>
      <c r="C25" s="41"/>
      <c r="D25" s="41"/>
      <c r="E25" s="41"/>
      <c r="F25" s="41"/>
      <c r="G25" s="42"/>
      <c r="H25" s="64" t="str">
        <f>IFERROR(VLOOKUP(B25,[1]新商品リスト!B:C,2,0),"")</f>
        <v/>
      </c>
      <c r="I25" s="36"/>
      <c r="J25" s="40"/>
      <c r="M25" s="13" t="str">
        <f>[1]注文一覧【反映用_A列のみ手入力】!AI12</f>
        <v/>
      </c>
    </row>
    <row r="26" spans="2:13" ht="27" customHeight="1" x14ac:dyDescent="0.55000000000000004">
      <c r="B26" s="67"/>
      <c r="C26" s="41"/>
      <c r="D26" s="41"/>
      <c r="E26" s="41"/>
      <c r="F26" s="41"/>
      <c r="G26" s="42"/>
      <c r="H26" s="62" t="str">
        <f>IFERROR(VLOOKUP(B26,[1]新商品リスト!B:C,2,0),"")</f>
        <v/>
      </c>
      <c r="I26" s="44"/>
      <c r="J26" s="40"/>
      <c r="M26" s="13" t="str">
        <f>[1]注文一覧【反映用_A列のみ手入力】!AJ12</f>
        <v/>
      </c>
    </row>
    <row r="27" spans="2:13" ht="27" customHeight="1" x14ac:dyDescent="0.55000000000000004">
      <c r="B27" s="67"/>
      <c r="C27" s="41"/>
      <c r="D27" s="41"/>
      <c r="E27" s="41"/>
      <c r="F27" s="41"/>
      <c r="G27" s="42"/>
      <c r="H27" s="62" t="str">
        <f>IFERROR(VLOOKUP(B27,[1]新商品リスト!B:C,2,0),"")</f>
        <v/>
      </c>
      <c r="I27" s="44"/>
      <c r="J27" s="40"/>
      <c r="M27" s="13" t="str">
        <f>[1]注文一覧【反映用_A列のみ手入力】!AK12</f>
        <v/>
      </c>
    </row>
    <row r="28" spans="2:13" ht="27" customHeight="1" x14ac:dyDescent="0.55000000000000004">
      <c r="B28" s="67"/>
      <c r="C28" s="41"/>
      <c r="D28" s="41"/>
      <c r="E28" s="41"/>
      <c r="F28" s="41"/>
      <c r="G28" s="42"/>
      <c r="H28" s="62" t="str">
        <f>IFERROR(VLOOKUP(B28,[1]新商品リスト!B:C,2,0),"")</f>
        <v/>
      </c>
      <c r="I28" s="44"/>
      <c r="J28" s="40"/>
      <c r="M28" s="13" t="str">
        <f>[1]注文一覧【反映用_A列のみ手入力】!AL12</f>
        <v/>
      </c>
    </row>
    <row r="29" spans="2:13" ht="27" customHeight="1" x14ac:dyDescent="0.55000000000000004">
      <c r="B29" s="67"/>
      <c r="C29" s="41"/>
      <c r="D29" s="41"/>
      <c r="E29" s="41"/>
      <c r="F29" s="41"/>
      <c r="G29" s="42"/>
      <c r="H29" s="62" t="str">
        <f>IFERROR(VLOOKUP(B29,[1]新商品リスト!B:C,2,0),"")</f>
        <v/>
      </c>
      <c r="I29" s="44"/>
      <c r="J29" s="40"/>
      <c r="M29" s="13" t="str">
        <f>[1]注文一覧【反映用_A列のみ手入力】!AM12</f>
        <v/>
      </c>
    </row>
    <row r="30" spans="2:13" ht="27" customHeight="1" x14ac:dyDescent="0.55000000000000004">
      <c r="B30" s="67"/>
      <c r="C30" s="41"/>
      <c r="D30" s="41"/>
      <c r="E30" s="41"/>
      <c r="F30" s="41"/>
      <c r="G30" s="42"/>
      <c r="H30" s="62" t="str">
        <f>IFERROR(VLOOKUP(B30,[1]新商品リスト!B:C,2,0),"")</f>
        <v/>
      </c>
      <c r="I30" s="44"/>
      <c r="J30" s="40"/>
      <c r="M30" s="13" t="str">
        <f>[1]注文一覧【反映用_A列のみ手入力】!AN12</f>
        <v/>
      </c>
    </row>
    <row r="31" spans="2:13" ht="27" customHeight="1" x14ac:dyDescent="0.55000000000000004">
      <c r="B31" s="68"/>
      <c r="C31" s="45"/>
      <c r="D31" s="45"/>
      <c r="E31" s="45"/>
      <c r="F31" s="45"/>
      <c r="G31" s="46"/>
      <c r="H31" s="65" t="str">
        <f>IFERROR(VLOOKUP(B31,[1]新商品リスト!B:C,2,0),"")</f>
        <v/>
      </c>
      <c r="I31" s="47"/>
      <c r="J31" s="48"/>
      <c r="M31" s="13" t="str">
        <f>[1]注文一覧【反映用_A列のみ手入力】!AO12</f>
        <v/>
      </c>
    </row>
    <row r="32" spans="2:13" ht="20.399999999999999" customHeight="1" x14ac:dyDescent="0.55000000000000004">
      <c r="G32" s="49"/>
      <c r="H32" s="49"/>
      <c r="I32" s="49"/>
      <c r="J32" s="49"/>
    </row>
    <row r="33" spans="2:10" ht="20.399999999999999" customHeight="1" x14ac:dyDescent="0.55000000000000004">
      <c r="B33" s="50" t="s">
        <v>77</v>
      </c>
      <c r="C33" s="51"/>
      <c r="D33" s="51"/>
      <c r="E33" s="51"/>
      <c r="F33" s="52"/>
      <c r="G33" s="49"/>
      <c r="H33" s="79" t="s">
        <v>75</v>
      </c>
      <c r="I33" s="79"/>
      <c r="J33" s="53">
        <f>SUM(J22:J31)</f>
        <v>0</v>
      </c>
    </row>
    <row r="34" spans="2:10" ht="20.399999999999999" customHeight="1" x14ac:dyDescent="0.55000000000000004">
      <c r="B34" s="54"/>
      <c r="C34" s="55"/>
      <c r="D34" s="55"/>
      <c r="E34" s="55"/>
      <c r="F34" s="56"/>
      <c r="G34" s="49"/>
      <c r="H34" s="79" t="s">
        <v>78</v>
      </c>
      <c r="I34" s="79"/>
      <c r="J34" s="53"/>
    </row>
    <row r="35" spans="2:10" ht="20.399999999999999" customHeight="1" x14ac:dyDescent="0.55000000000000004">
      <c r="B35" s="57"/>
      <c r="C35" s="58"/>
      <c r="D35" s="58"/>
      <c r="E35" s="58"/>
      <c r="F35" s="59"/>
      <c r="G35" s="49"/>
      <c r="H35" s="79" t="s">
        <v>79</v>
      </c>
      <c r="I35" s="79"/>
      <c r="J35" s="53">
        <f>J33+J34</f>
        <v>0</v>
      </c>
    </row>
    <row r="37" spans="2:10" ht="20.399999999999999" customHeight="1" x14ac:dyDescent="0.55000000000000004">
      <c r="B37" s="13" t="s">
        <v>80</v>
      </c>
      <c r="H37" s="13" t="s">
        <v>81</v>
      </c>
    </row>
    <row r="39" spans="2:10" ht="20.399999999999999" customHeight="1" x14ac:dyDescent="0.55000000000000004">
      <c r="B39" s="13" t="s">
        <v>82</v>
      </c>
    </row>
    <row r="40" spans="2:10" ht="20.399999999999999" customHeight="1" x14ac:dyDescent="0.55000000000000004">
      <c r="B40" s="13" t="s">
        <v>83</v>
      </c>
    </row>
    <row r="41" spans="2:10" ht="20.399999999999999" customHeight="1" x14ac:dyDescent="0.55000000000000004">
      <c r="B41" s="13" t="s">
        <v>84</v>
      </c>
    </row>
  </sheetData>
  <mergeCells count="7">
    <mergeCell ref="H35:I35"/>
    <mergeCell ref="G5:H5"/>
    <mergeCell ref="B10:E10"/>
    <mergeCell ref="G10:J10"/>
    <mergeCell ref="B21:G21"/>
    <mergeCell ref="H33:I33"/>
    <mergeCell ref="H34:I34"/>
  </mergeCells>
  <phoneticPr fontId="1"/>
  <pageMargins left="0.7" right="0.7" top="0.75" bottom="0.75" header="0.3" footer="0.3"/>
  <pageSetup paperSize="9" scale="7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25</vt:i4>
      </vt:variant>
    </vt:vector>
  </HeadingPairs>
  <TitlesOfParts>
    <vt:vector size="56" baseType="lpstr">
      <vt:lpstr>手順実行</vt:lpstr>
      <vt:lpstr>元データ</vt:lpstr>
      <vt:lpstr>編集</vt:lpstr>
      <vt:lpstr>ペットクリック物出し</vt:lpstr>
      <vt:lpstr>ペット佐川物出し</vt:lpstr>
      <vt:lpstr>衣類物出し</vt:lpstr>
      <vt:lpstr>ペット_クリック追跡番号レポート貼付</vt:lpstr>
      <vt:lpstr>衣類_クリック追跡番号レポート貼付</vt:lpstr>
      <vt:lpstr>通知用データ</vt:lpstr>
      <vt:lpstr>ペット_クリック発行用_一括発行アップデータ</vt:lpstr>
      <vt:lpstr>衣類_クリック発行用_一括発行アップデータ</vt:lpstr>
      <vt:lpstr>佐川発行用_E飛伝アップデータ</vt:lpstr>
      <vt:lpstr>納品書【2行目】</vt:lpstr>
      <vt:lpstr>納品書【3行目】</vt:lpstr>
      <vt:lpstr>納品書【4行目】</vt:lpstr>
      <vt:lpstr>納品書【5行目】</vt:lpstr>
      <vt:lpstr>納品書【6行目】</vt:lpstr>
      <vt:lpstr>納品書【7行目】</vt:lpstr>
      <vt:lpstr>納品書【8行目】</vt:lpstr>
      <vt:lpstr>納品書【9行目】</vt:lpstr>
      <vt:lpstr>納品書【10行目】</vt:lpstr>
      <vt:lpstr>納品書【11行目】</vt:lpstr>
      <vt:lpstr>納品書【12行目】</vt:lpstr>
      <vt:lpstr>納品書【13行目】</vt:lpstr>
      <vt:lpstr>納品書【14行目】</vt:lpstr>
      <vt:lpstr>納品書【15行目】</vt:lpstr>
      <vt:lpstr>納品書【16行目】</vt:lpstr>
      <vt:lpstr>納品書【17行目】</vt:lpstr>
      <vt:lpstr>納品書【18行目】</vt:lpstr>
      <vt:lpstr>納品書【19行目】</vt:lpstr>
      <vt:lpstr>納品書【20行目】</vt:lpstr>
      <vt:lpstr>ペットクリック物出し!Print_Area</vt:lpstr>
      <vt:lpstr>ペット佐川物出し!Print_Area</vt:lpstr>
      <vt:lpstr>衣類物出し!Print_Area</vt:lpstr>
      <vt:lpstr>納品書【10行目】!Print_Area</vt:lpstr>
      <vt:lpstr>納品書【11行目】!Print_Area</vt:lpstr>
      <vt:lpstr>納品書【12行目】!Print_Area</vt:lpstr>
      <vt:lpstr>納品書【13行目】!Print_Area</vt:lpstr>
      <vt:lpstr>納品書【14行目】!Print_Area</vt:lpstr>
      <vt:lpstr>納品書【15行目】!Print_Area</vt:lpstr>
      <vt:lpstr>納品書【16行目】!Print_Area</vt:lpstr>
      <vt:lpstr>納品書【17行目】!Print_Area</vt:lpstr>
      <vt:lpstr>納品書【18行目】!Print_Area</vt:lpstr>
      <vt:lpstr>納品書【19行目】!Print_Area</vt:lpstr>
      <vt:lpstr>納品書【20行目】!Print_Area</vt:lpstr>
      <vt:lpstr>納品書【2行目】!Print_Area</vt:lpstr>
      <vt:lpstr>納品書【3行目】!Print_Area</vt:lpstr>
      <vt:lpstr>納品書【4行目】!Print_Area</vt:lpstr>
      <vt:lpstr>納品書【5行目】!Print_Area</vt:lpstr>
      <vt:lpstr>納品書【6行目】!Print_Area</vt:lpstr>
      <vt:lpstr>納品書【7行目】!Print_Area</vt:lpstr>
      <vt:lpstr>納品書【8行目】!Print_Area</vt:lpstr>
      <vt:lpstr>納品書【9行目】!Print_Area</vt:lpstr>
      <vt:lpstr>ペットクリック物出し!Print_Titles</vt:lpstr>
      <vt:lpstr>ペット佐川物出し!Print_Titles</vt:lpstr>
      <vt:lpstr>衣類物出し!Print_Titles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shiro yamamoto</dc:creator>
  <cp:lastModifiedBy>shiro yamamoto</cp:lastModifiedBy>
  <cp:lastPrinted>2026-06-20T08:36:53Z</cp:lastPrinted>
  <dcterms:created xsi:type="dcterms:W3CDTF">2026-06-18T08:03:17Z</dcterms:created>
  <dcterms:modified xsi:type="dcterms:W3CDTF">2026-07-01T12:40:24Z</dcterms:modified>
</cp:coreProperties>
</file>